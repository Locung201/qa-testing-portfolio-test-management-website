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 List" sheetId="1" r:id="rId4"/>
    <sheet state="visible" name="Test Cases" sheetId="2" r:id="rId5"/>
    <sheet state="visible" name="Test Summary Report" sheetId="3" r:id="rId6"/>
    <sheet state="visible" name="Legend" sheetId="4" r:id="rId7"/>
  </sheets>
  <definedNames/>
  <calcPr/>
  <extLst>
    <ext uri="GoogleSheetsCustomDataVersion2">
      <go:sheetsCustomData xmlns:go="http://customooxmlschemas.google.com/" r:id="rId8" roundtripDataChecksum="dxLyGRKP2bcP11ATY/u9CXyyRkz8kicEf53elsR5o6c="/>
    </ext>
  </extLst>
</workbook>
</file>

<file path=xl/sharedStrings.xml><?xml version="1.0" encoding="utf-8"?>
<sst xmlns="http://schemas.openxmlformats.org/spreadsheetml/2006/main" count="310" uniqueCount="172">
  <si>
    <t>No.</t>
  </si>
  <si>
    <t>ID</t>
  </si>
  <si>
    <t>Requirement Name</t>
  </si>
  <si>
    <t>Details</t>
  </si>
  <si>
    <t>Remark</t>
  </si>
  <si>
    <t>Number of TCs</t>
  </si>
  <si>
    <t>R001</t>
  </si>
  <si>
    <t>Edit Release</t>
  </si>
  <si>
    <t>API dành cho sửa Release</t>
  </si>
  <si>
    <t>R002</t>
  </si>
  <si>
    <t>Add Release</t>
  </si>
  <si>
    <t>API dành cho tạo Release</t>
  </si>
  <si>
    <t>R003</t>
  </si>
  <si>
    <t>Add Test Plan</t>
  </si>
  <si>
    <t>API dành cho tạo Test plan</t>
  </si>
  <si>
    <t>&lt;&lt;&lt; Insert New Line above this line &gt;&gt;&gt;</t>
  </si>
  <si>
    <t>Total</t>
  </si>
  <si>
    <t>Test Execution</t>
  </si>
  <si>
    <t>Test Case ID</t>
  </si>
  <si>
    <t>Test case name/Objective</t>
  </si>
  <si>
    <t>Precondition</t>
  </si>
  <si>
    <t>Test steps</t>
  </si>
  <si>
    <t>Expected Result</t>
  </si>
  <si>
    <t>Created By</t>
  </si>
  <si>
    <t>Actual Result</t>
  </si>
  <si>
    <t>Status</t>
  </si>
  <si>
    <t>Bug ID</t>
  </si>
  <si>
    <t>Tester</t>
  </si>
  <si>
    <t>Tested Date</t>
  </si>
  <si>
    <t>Add Release  - TC001</t>
  </si>
  <si>
    <t>Release created with valid inputs</t>
  </si>
  <si>
    <t>Set network throttling latency to 60000
login as john_doe</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</si>
  <si>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Click Send Request</t>
  </si>
  <si>
    <t>{
    "message": "Release created successfully.",
    "releaseId": 41
}</t>
  </si>
  <si>
    <t>Passed</t>
  </si>
  <si>
    <t>Add Release  - TC002</t>
  </si>
  <si>
    <t>Release failed to create with invalid name</t>
  </si>
  <si>
    <t>1. Click on Displayed project, choose Release Field
2. Open Devtools, choose the network configged in Precondition
3. Click Add Release, field in valid inputs, and let the name field "". then click create
4. In tab network, select the new request appearing, right click, and copy its cUrl
5. Open Postman, choose import and paste the cUrl
6. Click Send Request</t>
  </si>
  <si>
    <t>{
    "message": "Release name must not be empty."
}</t>
  </si>
  <si>
    <t>Add Release  - TC003</t>
  </si>
  <si>
    <t>Release failed to create with no name</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</si>
  <si>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In body, delete name field
7. Click Send Request</t>
  </si>
  <si>
    <t>{
    "message": "Release name must not be empty."
}</t>
  </si>
  <si>
    <t>Add Release  - TC004</t>
  </si>
  <si>
    <t>Release failed to create with no start date</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</si>
  <si>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In body, delete start date field
7. Click Send Request</t>
  </si>
  <si>
    <t>{
    "message": "Invalid timestamp."
}</t>
  </si>
  <si>
    <t>{
    "message": "Release created successfully.",
    "releaseId": 43
}</t>
  </si>
  <si>
    <t>Failed</t>
  </si>
  <si>
    <t>Add Release  - TC005</t>
  </si>
  <si>
    <t>Release failed to create with no end date</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</si>
  <si>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In body, delete end date field
7. Click Send Request</t>
  </si>
  <si>
    <t>{
    "message": "Invalid timestamp."
}</t>
  </si>
  <si>
    <t>Add Release  - TC006</t>
  </si>
  <si>
    <t>Release failed to create with invalid start date</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</si>
  <si>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In body, set start date to "2024--08-23"
7. Click Send Request</t>
  </si>
  <si>
    <t>{
    "message": "An error occurred while creating the release."
}</t>
  </si>
  <si>
    <t>Add Release  - TC007</t>
  </si>
  <si>
    <t>Release failed to create with invalid end date</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</si>
  <si>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In body, set start date to "2024--08-28"
7. Click Send Request</t>
  </si>
  <si>
    <t>Add Release  - TC008</t>
  </si>
  <si>
    <t>Release failed to create with start date after end date</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</si>
  <si>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In body, set start date to "2024-08-30" and end date to "2024-08-28"
7. Click Send Request</t>
  </si>
  <si>
    <t>{
    "message": "An error occurred while creating the release."
}</t>
  </si>
  <si>
    <t>Add Release  - TC009</t>
  </si>
  <si>
    <t>Release failed to create with no access token</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</si>
  <si>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In Header, turn off the cookies
7. Click Send Request</t>
  </si>
  <si>
    <t>{
    "message": "Invalid token",
    "content": "",
    "date": "2024-08-20T16:00:46.707Z"
}</t>
  </si>
  <si>
    <t>Add Release  - TC010</t>
  </si>
  <si>
    <t>Release failed to create with invalid token</t>
  </si>
  <si>
    <t>Set network throttling latency to 60000
Login as tomr</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</si>
  <si>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Click Send Request</t>
  </si>
  <si>
    <t>{
    "message": "You do not have permission for this action",
    "content": "",
    "date": "2024-08-20T16:35:51.449Z"
}</t>
  </si>
  <si>
    <t>Edit Release  - TC01</t>
  </si>
  <si>
    <t>Release successfully updated with valid inputs</t>
  </si>
  <si>
    <t>Set network throttling latency to 60000
login as john_doe</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</si>
  <si>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Click Send Request</t>
  </si>
  <si>
    <t>{
    "message": "Released edited successfully."
}</t>
  </si>
  <si>
    <t>Edit Release  - TC02</t>
  </si>
  <si>
    <t>Release failed to updated with no name</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</si>
  <si>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In Body, delete name field
7. Click Send Request</t>
  </si>
  <si>
    <t>Edit Release  - TC03</t>
  </si>
  <si>
    <t>Release failed to updated with invalid name</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</si>
  <si>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In Body, set name to ""
7. Click Send Request</t>
  </si>
  <si>
    <t>Edit Release  - TC04</t>
  </si>
  <si>
    <t>Release failed to updated with no start date</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</si>
  <si>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In Body, delete start date field
7. Click Send Request</t>
  </si>
  <si>
    <t>Edit Release  - TC05</t>
  </si>
  <si>
    <t>Release failed to updated with no end date</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</si>
  <si>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In Body, delete end date field
7. Click Send Request</t>
  </si>
  <si>
    <t>Edit Release  - TC06</t>
  </si>
  <si>
    <t>Release failed to updated with invalid start date</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</si>
  <si>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In Body, set start date to "2024--08-24"
7. Click Send Request</t>
  </si>
  <si>
    <t>{
    "message": "Internal server error."
}</t>
  </si>
  <si>
    <t>Edit Release  - TC07</t>
  </si>
  <si>
    <t>Release failed to updated with invalid end date</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</si>
  <si>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In Body, set end date to "2024--08-28"
7. Click Send Request</t>
  </si>
  <si>
    <t>Edit Release  - TC08</t>
  </si>
  <si>
    <t>Release failed to updated with start date is after end date</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</si>
  <si>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In Body, set start date to "2024-08-28" and end date to "2024-08-20"
7. Click Send Request</t>
  </si>
  <si>
    <t>Edit Release  - TC09</t>
  </si>
  <si>
    <t>Release failed to updated without access token</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</si>
  <si>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In header, turn off the cookies
7. Click Send Request</t>
  </si>
  <si>
    <t>{
    "message": "Invalid token",
    "content": "",
    "date": "2024-08-20T16:40:57.775Z"
}</t>
  </si>
  <si>
    <t>Edit Release  - TC10</t>
  </si>
  <si>
    <t>Release failed to updated with invalid token</t>
  </si>
  <si>
    <t>Set network throttling latency to 60000
login as tomr</t>
  </si>
  <si>
    <t>{
    "message": "You do not have permission for this action",
    "content": "",
    "date": "2024-08-20T16:42:21.306Z"
}</t>
  </si>
  <si>
    <t>Add Test Plan  - TC01</t>
  </si>
  <si>
    <t>Test plan successfully created with valid inputs</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</si>
  <si>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Click Send Request</t>
  </si>
  <si>
    <t>{
    "message": "Test Plan created successfully.",
    "testPlanId": 2385
}</t>
  </si>
  <si>
    <t>{
    "message": "Release created successfully.",
    "testPlanId": 2385
}</t>
  </si>
  <si>
    <t>Add Test Plan  - TC02</t>
  </si>
  <si>
    <t>Test plan failed to created with no name</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</si>
  <si>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delete field name
7. Click Send Request</t>
  </si>
  <si>
    <t>{
    "message": "Test plan name must not be empty."
}</t>
  </si>
  <si>
    <t>Add Test Plan  - TC03</t>
  </si>
  <si>
    <t>Test plan failed to created with invalid name</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</si>
  <si>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set name to ""
7. Click Send Request</t>
  </si>
  <si>
    <t>Add Test Plan  - TC04</t>
  </si>
  <si>
    <t>Test plan failed to created with no description</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</si>
  <si>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delete description field
7. Click Send Request</t>
  </si>
  <si>
    <t>{
    "message": "Test plan description must not be empty."
}</t>
  </si>
  <si>
    <t>{
    "message": "Release created successfully.",
    "testPlanId": 2386
}</t>
  </si>
  <si>
    <t>Add Test Plan  - TC05</t>
  </si>
  <si>
    <t>Test plan failed to created with no start date</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</si>
  <si>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delete start date field
7. Click Send Request</t>
  </si>
  <si>
    <t>{
    "message": "Release created successfully.",
    "testPlanId": 2387
}</t>
  </si>
  <si>
    <t>Add Test Plan  - TC06</t>
  </si>
  <si>
    <t>Test plan failed to created with no end date</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</si>
  <si>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delete end date field
7. Click Send Request</t>
  </si>
  <si>
    <t>Add Test Plan  - TC07</t>
  </si>
  <si>
    <t>Test plan failed to created with no releaseId</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</si>
  <si>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delete releaseId field
7. Click Send Request</t>
  </si>
  <si>
    <t>Missing release ID.</t>
  </si>
  <si>
    <t>Add Test Plan  - TC08</t>
  </si>
  <si>
    <t>Test plan failed to created with invalid start date</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</si>
  <si>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set start date to "2024--08-24"
7. Click Send Request</t>
  </si>
  <si>
    <t>{
    "message": "An error occurred while creating the test plan."
}</t>
  </si>
  <si>
    <t>Add Test Plan  - TC09</t>
  </si>
  <si>
    <t>Test plan failed to created with invalid end date</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</si>
  <si>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set end date to "2024--08-31"
7. Click Send Request</t>
  </si>
  <si>
    <t>Add Test Plan  - TC10</t>
  </si>
  <si>
    <t>Test plan failed to created with start date is after end date</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</si>
  <si>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set end date to "2024-08-24" and start date to "2024-08-28"
7. Click Send Request</t>
  </si>
  <si>
    <t>TEST SUMMARY REPORT</t>
  </si>
  <si>
    <t>Project Name</t>
  </si>
  <si>
    <t>&lt;Project Name&gt;</t>
  </si>
  <si>
    <t>Reviewer</t>
  </si>
  <si>
    <t>&lt;Reviewer&gt;</t>
  </si>
  <si>
    <t>Creator</t>
  </si>
  <si>
    <t>&lt;Creator&gt;</t>
  </si>
  <si>
    <t>Approver</t>
  </si>
  <si>
    <t>&lt;Approver&gt;</t>
  </si>
  <si>
    <t>Note</t>
  </si>
  <si>
    <t>Test Coverage:</t>
  </si>
  <si>
    <t>Successful Test Coverage:</t>
  </si>
  <si>
    <t>Date:</t>
  </si>
  <si>
    <t>No</t>
  </si>
  <si>
    <t>Requirement ID</t>
  </si>
  <si>
    <t>Requirement name</t>
  </si>
  <si>
    <t>Tested</t>
  </si>
  <si>
    <t>Blocked</t>
  </si>
  <si>
    <t>Skipped</t>
  </si>
  <si>
    <t>Not Yet Tested</t>
  </si>
  <si>
    <t>Tested Coverage</t>
  </si>
  <si>
    <t>Test Case Status</t>
  </si>
  <si>
    <t>Expected = Actual</t>
  </si>
  <si>
    <t>Expected &lt;&gt; Actual</t>
  </si>
  <si>
    <t>Can not test</t>
  </si>
  <si>
    <t>Do not need to test now</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</si>
</sst>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yyyy/mm/dd"/>
  </numFmts>
  <fonts count="15">
    <font>
      <sz val="10.0"/>
      <color rgb="FF000000"/>
      <name val="Arial"/>
      <scheme val="minor"/>
    </font>
    <font>
      <b/>
      <color theme="1"/>
      <name val="Arial"/>
    </font>
    <font>
      <sz val="11.0"/>
      <color rgb="FF000000"/>
      <name val="Calibri"/>
    </font>
    <font>
      <b/>
      <color rgb="FFFF0000"/>
      <name val="Arial"/>
    </font>
    <font>
      <b/>
      <sz val="12.0"/>
      <color rgb="FFFF0000"/>
      <name val="Arial"/>
    </font>
    <font>
      <color theme="1"/>
      <name val="Arial"/>
    </font>
    <font/>
    <font>
      <b/>
      <sz val="14.0"/>
      <color theme="1"/>
      <name val="Calibri"/>
    </font>
    <font>
      <b/>
      <sz val="11.0"/>
      <color rgb="FF974806"/>
      <name val="Calibri"/>
    </font>
    <font>
      <sz val="11.0"/>
      <color theme="1"/>
      <name val="Calibri"/>
    </font>
    <font>
      <b/>
      <sz val="11.0"/>
      <color rgb="FF953734"/>
      <name val="Calibri"/>
    </font>
    <font>
      <b/>
      <i/>
      <sz val="11.0"/>
      <color theme="1"/>
      <name val="Calibri"/>
    </font>
    <font>
      <b/>
      <sz val="11.0"/>
      <color rgb="FF3366FF"/>
      <name val="Calibri"/>
    </font>
    <font>
      <i/>
      <sz val="11.0"/>
      <color theme="1"/>
      <name val="Calibri"/>
    </font>
    <font>
      <b/>
      <color rgb="FFFF9900"/>
      <name val="Arial"/>
    </font>
  </fonts>
  <fills count="7">
    <fill>
      <patternFill patternType="none"/>
    </fill>
    <fill>
      <patternFill patternType="lightGray"/>
    </fill>
    <fill>
      <patternFill patternType="solid">
        <fgColor rgb="FFC0C0C0"/>
        <bgColor rgb="FFC0C0C0"/>
      </patternFill>
    </fill>
    <fill>
      <patternFill patternType="solid">
        <fgColor rgb="FFCCFFFF"/>
        <bgColor rgb="FFCCFFFF"/>
      </patternFill>
    </fill>
    <fill>
      <patternFill patternType="solid">
        <fgColor rgb="FF99CCFF"/>
        <bgColor rgb="FF99CCFF"/>
      </patternFill>
    </fill>
    <fill>
      <patternFill patternType="solid">
        <fgColor rgb="FFEFEFEF"/>
        <bgColor rgb="FFEFEFEF"/>
      </patternFill>
    </fill>
    <fill>
      <patternFill patternType="solid">
        <fgColor rgb="FFFFFFFF"/>
        <bgColor rgb="FFFFFFFF"/>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0"/>
    </xf>
    <xf borderId="1" fillId="2" fontId="1" numFmtId="0" xfId="0" applyAlignment="1" applyBorder="1" applyFont="1">
      <alignment horizontal="center" shrinkToFit="0" vertical="bottom" wrapText="1"/>
    </xf>
    <xf borderId="1" fillId="0" fontId="2" numFmtId="0" xfId="0" applyAlignment="1" applyBorder="1" applyFont="1">
      <alignment horizontal="right" shrinkToFit="0" vertical="bottom" wrapText="0"/>
    </xf>
    <xf borderId="1" fillId="0" fontId="2" numFmtId="0" xfId="0" applyAlignment="1" applyBorder="1" applyFont="1">
      <alignment horizontal="center" shrinkToFit="0" vertical="bottom" wrapText="0"/>
    </xf>
    <xf borderId="1" fillId="0" fontId="2" numFmtId="0" xfId="0" applyAlignment="1" applyBorder="1" applyFont="1">
      <alignment readingOrder="0" shrinkToFit="0" vertical="bottom" wrapText="1"/>
    </xf>
    <xf borderId="1" fillId="0" fontId="2" numFmtId="0" xfId="0" applyAlignment="1" applyBorder="1" applyFont="1">
      <alignment shrinkToFit="0" vertical="bottom" wrapText="0"/>
    </xf>
    <xf borderId="2" fillId="3" fontId="3" numFmtId="0" xfId="0" applyAlignment="1" applyBorder="1" applyFill="1" applyFont="1">
      <alignment shrinkToFit="0" vertical="center" wrapText="0"/>
    </xf>
    <xf borderId="2" fillId="3" fontId="1" numFmtId="0" xfId="0" applyAlignment="1" applyBorder="1" applyFont="1">
      <alignment shrinkToFit="0" vertical="center" wrapText="0"/>
    </xf>
    <xf borderId="2" fillId="3" fontId="1" numFmtId="0" xfId="0" applyAlignment="1" applyBorder="1" applyFont="1">
      <alignment shrinkToFit="0" vertical="center" wrapText="1"/>
    </xf>
    <xf borderId="2" fillId="3" fontId="4" numFmtId="0" xfId="0" applyAlignment="1" applyBorder="1" applyFont="1">
      <alignment shrinkToFit="0" vertical="center" wrapText="0"/>
    </xf>
    <xf borderId="0" fillId="0" fontId="5" numFmtId="0" xfId="0" applyAlignment="1" applyFont="1">
      <alignment vertical="center"/>
    </xf>
    <xf borderId="0" fillId="0" fontId="5" numFmtId="0" xfId="0" applyAlignment="1" applyFont="1">
      <alignment shrinkToFit="0" wrapText="1"/>
    </xf>
    <xf borderId="0" fillId="0" fontId="2" numFmtId="0" xfId="0" applyAlignment="1" applyFont="1">
      <alignment shrinkToFit="0" vertical="bottom" wrapText="0"/>
    </xf>
    <xf borderId="0" fillId="0" fontId="2" numFmtId="0" xfId="0" applyAlignment="1" applyFont="1">
      <alignment horizontal="center" shrinkToFit="0" vertical="bottom" wrapText="0"/>
    </xf>
    <xf borderId="0" fillId="0" fontId="2" numFmtId="0" xfId="0" applyAlignment="1" applyFont="1">
      <alignment shrinkToFit="0" vertical="bottom" wrapText="1"/>
    </xf>
    <xf borderId="3" fillId="4" fontId="1" numFmtId="0" xfId="0" applyAlignment="1" applyBorder="1" applyFill="1" applyFont="1">
      <alignment horizontal="center" shrinkToFit="0" vertical="bottom" wrapText="1"/>
    </xf>
    <xf borderId="3" fillId="0" fontId="6" numFmtId="0" xfId="0" applyBorder="1" applyFont="1"/>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0" fillId="0" fontId="5" numFmtId="0" xfId="0" applyAlignment="1" applyFont="1">
      <alignment horizontal="center" shrinkToFit="0" vertical="center" wrapText="1"/>
    </xf>
    <xf borderId="1" fillId="0" fontId="2" numFmtId="0" xfId="0" applyAlignment="1" applyBorder="1" applyFont="1">
      <alignment horizontal="right" shrinkToFit="0" vertical="top" wrapText="0"/>
    </xf>
    <xf borderId="1" fillId="0" fontId="2" numFmtId="0" xfId="0" applyAlignment="1" applyBorder="1" applyFont="1">
      <alignment horizontal="center" readingOrder="0" shrinkToFit="0" vertical="top" wrapText="0"/>
    </xf>
    <xf borderId="1" fillId="0" fontId="2" numFmtId="0" xfId="0" applyAlignment="1" applyBorder="1" applyFont="1">
      <alignment readingOrder="0" shrinkToFit="0" vertical="top" wrapText="1"/>
    </xf>
    <xf borderId="1" fillId="0" fontId="2" numFmtId="0" xfId="0" applyAlignment="1" applyBorder="1" applyFont="1">
      <alignment horizontal="center" readingOrder="0" vertical="top"/>
    </xf>
    <xf borderId="1" fillId="5" fontId="2" numFmtId="0" xfId="0" applyAlignment="1" applyBorder="1" applyFill="1" applyFont="1">
      <alignment readingOrder="0" shrinkToFit="0" vertical="top" wrapText="1"/>
    </xf>
    <xf borderId="1" fillId="5" fontId="2" numFmtId="0" xfId="0" applyAlignment="1" applyBorder="1" applyFont="1">
      <alignment readingOrder="0" shrinkToFit="0" vertical="top" wrapText="0"/>
    </xf>
    <xf borderId="2" fillId="5" fontId="2" numFmtId="0" xfId="0" applyAlignment="1" applyBorder="1" applyFont="1">
      <alignment shrinkToFit="0" vertical="top" wrapText="0"/>
    </xf>
    <xf borderId="1" fillId="5" fontId="2" numFmtId="0" xfId="0" applyAlignment="1" applyBorder="1" applyFont="1">
      <alignment readingOrder="0" vertical="top"/>
    </xf>
    <xf borderId="4" fillId="5" fontId="5" numFmtId="164" xfId="0" applyAlignment="1" applyBorder="1" applyFont="1" applyNumberFormat="1">
      <alignment horizontal="center" shrinkToFit="0" vertical="top" wrapText="0"/>
    </xf>
    <xf borderId="1" fillId="5" fontId="2" numFmtId="0" xfId="0" applyAlignment="1" applyBorder="1" applyFont="1">
      <alignment vertical="top"/>
    </xf>
    <xf borderId="0" fillId="0" fontId="5" numFmtId="0" xfId="0" applyAlignment="1" applyFont="1">
      <alignment vertical="top"/>
    </xf>
    <xf borderId="2" fillId="0" fontId="2" numFmtId="0" xfId="0" applyAlignment="1" applyBorder="1" applyFont="1">
      <alignment horizontal="right" shrinkToFit="0" vertical="top" wrapText="0"/>
    </xf>
    <xf borderId="4" fillId="5" fontId="5" numFmtId="164" xfId="0" applyAlignment="1" applyBorder="1" applyFont="1" applyNumberFormat="1">
      <alignment horizontal="center" readingOrder="0" shrinkToFit="0" vertical="top" wrapText="0"/>
    </xf>
    <xf borderId="2" fillId="5" fontId="2" numFmtId="0" xfId="0" applyAlignment="1" applyBorder="1" applyFont="1">
      <alignment vertical="top"/>
    </xf>
    <xf borderId="2" fillId="5" fontId="2" numFmtId="0" xfId="0" applyAlignment="1" applyBorder="1" applyFont="1">
      <alignment readingOrder="0" shrinkToFit="0" vertical="top" wrapText="0"/>
    </xf>
    <xf borderId="2" fillId="5" fontId="2" numFmtId="0" xfId="0" applyAlignment="1" applyBorder="1" applyFont="1">
      <alignment shrinkToFit="0" vertical="top" wrapText="1"/>
    </xf>
    <xf borderId="2" fillId="3" fontId="3" numFmtId="0" xfId="0" applyAlignment="1" applyBorder="1" applyFont="1">
      <alignment shrinkToFit="0" vertical="top" wrapText="0"/>
    </xf>
    <xf borderId="2" fillId="3" fontId="3" numFmtId="0" xfId="0" applyAlignment="1" applyBorder="1" applyFont="1">
      <alignment shrinkToFit="0" vertical="top" wrapText="1"/>
    </xf>
    <xf borderId="2" fillId="3" fontId="3" numFmtId="0" xfId="0" applyAlignment="1" applyBorder="1" applyFont="1">
      <alignment horizontal="center" shrinkToFit="0" vertical="top" wrapText="0"/>
    </xf>
    <xf borderId="0" fillId="0" fontId="2" numFmtId="0" xfId="0" applyAlignment="1" applyFont="1">
      <alignment horizontal="center" vertical="bottom"/>
    </xf>
    <xf borderId="0" fillId="0" fontId="5" numFmtId="0" xfId="0" applyAlignment="1" applyFont="1">
      <alignment horizontal="center"/>
    </xf>
    <xf borderId="5" fillId="0" fontId="7" numFmtId="0" xfId="0" applyAlignment="1" applyBorder="1" applyFont="1">
      <alignment horizontal="center" vertical="bottom"/>
    </xf>
    <xf borderId="6" fillId="0" fontId="6" numFmtId="0" xfId="0" applyBorder="1" applyFont="1"/>
    <xf borderId="7" fillId="0" fontId="6" numFmtId="0" xfId="0" applyBorder="1" applyFont="1"/>
    <xf borderId="8" fillId="0" fontId="8" numFmtId="0" xfId="0" applyAlignment="1" applyBorder="1" applyFont="1">
      <alignment horizontal="right" vertical="bottom"/>
    </xf>
    <xf borderId="4" fillId="0" fontId="6" numFmtId="0" xfId="0" applyBorder="1" applyFont="1"/>
    <xf borderId="3" fillId="0" fontId="9" numFmtId="0" xfId="0" applyAlignment="1" applyBorder="1" applyFont="1">
      <alignment horizontal="center" vertical="bottom"/>
    </xf>
    <xf borderId="3" fillId="0" fontId="8" numFmtId="0" xfId="0" applyAlignment="1" applyBorder="1" applyFont="1">
      <alignment horizontal="right" vertical="bottom"/>
    </xf>
    <xf borderId="8" fillId="0" fontId="10" numFmtId="0" xfId="0" applyAlignment="1" applyBorder="1" applyFont="1">
      <alignment horizontal="right"/>
    </xf>
    <xf borderId="3" fillId="0" fontId="5" numFmtId="0" xfId="0" applyBorder="1" applyFont="1"/>
    <xf borderId="0" fillId="0" fontId="9" numFmtId="0" xfId="0" applyAlignment="1" applyFont="1">
      <alignment vertical="bottom"/>
    </xf>
    <xf borderId="0" fillId="0" fontId="11" numFmtId="0" xfId="0" applyAlignment="1" applyFont="1">
      <alignment horizontal="right" vertical="bottom"/>
    </xf>
    <xf borderId="0" fillId="0" fontId="12" numFmtId="9" xfId="0" applyAlignment="1" applyFont="1" applyNumberFormat="1">
      <alignment horizontal="center" vertical="bottom"/>
    </xf>
    <xf borderId="0" fillId="0" fontId="11" numFmtId="14" xfId="0" applyAlignment="1" applyFont="1" applyNumberFormat="1">
      <alignment horizontal="right" vertical="bottom"/>
    </xf>
    <xf borderId="0" fillId="0" fontId="11" numFmtId="0" xfId="0" applyAlignment="1" applyFont="1">
      <alignment horizontal="center" vertical="bottom"/>
    </xf>
    <xf borderId="0" fillId="0" fontId="13" numFmtId="165" xfId="0" applyAlignment="1" applyFont="1" applyNumberFormat="1">
      <alignment horizontal="center" vertical="bottom"/>
    </xf>
    <xf borderId="0" fillId="0" fontId="9" numFmtId="14" xfId="0" applyAlignment="1" applyFont="1" applyNumberFormat="1">
      <alignment vertical="bottom"/>
    </xf>
    <xf borderId="1" fillId="6" fontId="9" numFmtId="0" xfId="0" applyAlignment="1" applyBorder="1" applyFill="1" applyFont="1">
      <alignment horizontal="center" vertical="bottom"/>
    </xf>
    <xf borderId="1" fillId="6" fontId="9" numFmtId="0" xfId="0" applyAlignment="1" applyBorder="1" applyFont="1">
      <alignment vertical="bottom"/>
    </xf>
    <xf borderId="4" fillId="0" fontId="14" numFmtId="0" xfId="0" applyAlignment="1" applyBorder="1" applyFont="1">
      <alignment horizontal="center" shrinkToFit="0" vertical="bottom" wrapText="0"/>
    </xf>
    <xf borderId="1" fillId="6" fontId="9" numFmtId="9" xfId="0" applyAlignment="1" applyBorder="1" applyFont="1" applyNumberFormat="1">
      <alignment horizontal="center" vertical="bottom"/>
    </xf>
    <xf borderId="1" fillId="5" fontId="9" numFmtId="0" xfId="0" applyAlignment="1" applyBorder="1" applyFont="1">
      <alignment horizontal="center" vertical="bottom"/>
    </xf>
    <xf borderId="4" fillId="5" fontId="14" numFmtId="0" xfId="0" applyAlignment="1" applyBorder="1" applyFont="1">
      <alignment horizontal="center" shrinkToFit="0" vertical="bottom" wrapText="0"/>
    </xf>
    <xf borderId="1" fillId="5" fontId="9" numFmtId="9" xfId="0" applyAlignment="1" applyBorder="1" applyFont="1" applyNumberFormat="1">
      <alignment horizontal="center" vertical="bottom"/>
    </xf>
    <xf borderId="2" fillId="3" fontId="4" numFmtId="0" xfId="0" applyAlignment="1" applyBorder="1" applyFont="1">
      <alignment horizontal="center" shrinkToFit="0" vertical="center" wrapText="0"/>
    </xf>
    <xf borderId="2" fillId="3" fontId="4" numFmtId="9" xfId="0" applyAlignment="1" applyBorder="1" applyFont="1" applyNumberFormat="1">
      <alignment horizontal="center" shrinkToFit="0" vertical="center" wrapText="0"/>
    </xf>
    <xf borderId="0" fillId="0" fontId="5" numFmtId="0" xfId="0" applyAlignment="1" applyFont="1">
      <alignment shrinkToFit="0" vertical="bottom" wrapText="0"/>
    </xf>
    <xf borderId="2" fillId="0" fontId="5"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15.63"/>
    <col customWidth="1" min="3" max="3" width="19.13"/>
    <col customWidth="1" min="4" max="4" width="41.0"/>
    <col customWidth="1" min="5" max="6" width="12.63"/>
  </cols>
  <sheetData>
    <row r="1" ht="15.75" customHeight="1">
      <c r="A1" s="1" t="s">
        <v>0</v>
      </c>
      <c r="B1" s="1" t="s">
        <v>1</v>
      </c>
      <c r="C1" s="1" t="s">
        <v>2</v>
      </c>
      <c r="D1" s="2" t="s">
        <v>3</v>
      </c>
      <c r="E1" s="1" t="s">
        <v>4</v>
      </c>
      <c r="F1" s="1" t="s">
        <v>5</v>
      </c>
    </row>
    <row r="2" ht="15.75" customHeight="1">
      <c r="A2" s="3">
        <v>1.0</v>
      </c>
      <c r="B2" s="4" t="s">
        <v>6</v>
      </c>
      <c r="C2" s="5" t="s">
        <v>7</v>
      </c>
      <c r="D2" s="5" t="s">
        <v>8</v>
      </c>
      <c r="E2" s="6"/>
      <c r="F2" s="6">
        <f>countif('Test Cases'!C:C,C2)</f>
        <v>10</v>
      </c>
    </row>
    <row r="3" ht="15.75" customHeight="1">
      <c r="A3" s="3">
        <f t="shared" ref="A3:A4" si="1">A2+1</f>
        <v>2</v>
      </c>
      <c r="B3" s="4" t="s">
        <v>9</v>
      </c>
      <c r="C3" s="5" t="s">
        <v>10</v>
      </c>
      <c r="D3" s="5" t="s">
        <v>11</v>
      </c>
      <c r="E3" s="6"/>
      <c r="F3" s="6">
        <f>countif('Test Cases'!C:C,C3)</f>
        <v>10</v>
      </c>
    </row>
    <row r="4" ht="15.75" customHeight="1">
      <c r="A4" s="3">
        <f t="shared" si="1"/>
        <v>3</v>
      </c>
      <c r="B4" s="4" t="s">
        <v>12</v>
      </c>
      <c r="C4" s="5" t="s">
        <v>13</v>
      </c>
      <c r="D4" s="5" t="s">
        <v>14</v>
      </c>
      <c r="E4" s="6"/>
      <c r="F4" s="6">
        <f>countif('Test Cases'!C:C,C4)</f>
        <v>10</v>
      </c>
    </row>
    <row r="5" ht="15.75" customHeight="1">
      <c r="A5" s="7" t="s">
        <v>15</v>
      </c>
      <c r="B5" s="8"/>
      <c r="C5" s="8"/>
      <c r="D5" s="9" t="s">
        <v>16</v>
      </c>
      <c r="E5" s="8" t="s">
        <v>16</v>
      </c>
      <c r="F5" s="10">
        <f>SUM(F2:F4)</f>
        <v>30</v>
      </c>
      <c r="G5" s="11"/>
      <c r="H5" s="11"/>
      <c r="I5" s="11"/>
      <c r="J5" s="11"/>
      <c r="K5" s="11"/>
      <c r="L5" s="11"/>
      <c r="M5" s="11"/>
      <c r="N5" s="11"/>
      <c r="O5" s="11"/>
      <c r="P5" s="11"/>
      <c r="Q5" s="11"/>
      <c r="R5" s="11"/>
      <c r="S5" s="11"/>
      <c r="T5" s="11"/>
      <c r="U5" s="11"/>
      <c r="V5" s="11"/>
      <c r="W5" s="11"/>
      <c r="X5" s="11"/>
      <c r="Y5" s="11"/>
      <c r="Z5" s="11"/>
    </row>
    <row r="6" ht="15.75" customHeight="1">
      <c r="D6" s="12"/>
    </row>
    <row r="7" ht="15.75" customHeight="1">
      <c r="D7" s="12"/>
    </row>
    <row r="8" ht="15.75" customHeight="1">
      <c r="D8" s="12"/>
    </row>
    <row r="9" ht="15.75" customHeight="1">
      <c r="D9" s="12"/>
    </row>
    <row r="10" ht="15.75" customHeight="1">
      <c r="D10" s="12"/>
    </row>
    <row r="11" ht="15.75" customHeight="1">
      <c r="D11" s="12"/>
    </row>
    <row r="12" ht="15.75" customHeight="1">
      <c r="D12" s="12"/>
    </row>
    <row r="13" ht="15.75" customHeight="1">
      <c r="D13" s="12"/>
    </row>
    <row r="14" ht="15.75" customHeight="1">
      <c r="D14" s="12"/>
    </row>
    <row r="15" ht="15.75" customHeight="1">
      <c r="D15" s="12"/>
    </row>
    <row r="16" ht="15.75" customHeight="1">
      <c r="D16" s="12"/>
    </row>
    <row r="17" ht="15.75" customHeight="1">
      <c r="D17" s="12"/>
    </row>
    <row r="18" ht="15.75" customHeight="1">
      <c r="D18" s="12"/>
    </row>
    <row r="19" ht="15.75" customHeight="1">
      <c r="D19" s="12"/>
    </row>
    <row r="20" ht="15.75" customHeight="1">
      <c r="D20" s="12"/>
    </row>
    <row r="21" ht="15.75" customHeight="1">
      <c r="D21" s="12"/>
    </row>
    <row r="22" ht="15.75" customHeight="1">
      <c r="D22" s="12"/>
    </row>
    <row r="23" ht="15.75" customHeight="1">
      <c r="D23" s="12"/>
    </row>
    <row r="24" ht="15.75" customHeight="1">
      <c r="D24" s="12"/>
    </row>
    <row r="25" ht="15.75" customHeight="1">
      <c r="D25" s="12"/>
    </row>
    <row r="26" ht="15.75" customHeight="1">
      <c r="D26" s="12"/>
    </row>
    <row r="27" ht="15.75" customHeight="1">
      <c r="D27" s="12"/>
    </row>
    <row r="28" ht="15.75" customHeight="1">
      <c r="D28" s="12"/>
    </row>
    <row r="29" ht="15.75" customHeight="1">
      <c r="D29" s="12"/>
    </row>
    <row r="30" ht="15.75" customHeight="1">
      <c r="D30" s="12"/>
    </row>
    <row r="31" ht="15.75" customHeight="1">
      <c r="D31" s="12"/>
    </row>
    <row r="32" ht="15.75" customHeight="1">
      <c r="D32" s="12"/>
    </row>
    <row r="33" ht="15.75" customHeight="1">
      <c r="D33" s="12"/>
    </row>
    <row r="34" ht="15.75" customHeight="1">
      <c r="D34" s="12"/>
    </row>
    <row r="35" ht="15.75" customHeight="1">
      <c r="D35" s="12"/>
    </row>
    <row r="36" ht="15.75" customHeight="1">
      <c r="D36" s="12"/>
    </row>
    <row r="37" ht="15.75" customHeight="1">
      <c r="D37" s="12"/>
    </row>
    <row r="38" ht="15.75" customHeight="1">
      <c r="D38" s="12"/>
    </row>
    <row r="39" ht="15.75" customHeight="1">
      <c r="D39" s="12"/>
    </row>
    <row r="40" ht="15.75" customHeight="1">
      <c r="D40" s="12"/>
    </row>
    <row r="41" ht="15.75" customHeight="1">
      <c r="D41" s="12"/>
    </row>
    <row r="42" ht="15.75" customHeight="1">
      <c r="D42" s="12"/>
    </row>
    <row r="43" ht="15.75" customHeight="1">
      <c r="D43" s="12"/>
    </row>
    <row r="44" ht="15.75" customHeight="1">
      <c r="D44" s="12"/>
    </row>
    <row r="45" ht="15.75" customHeight="1">
      <c r="D45" s="12"/>
    </row>
    <row r="46" ht="15.75" customHeight="1">
      <c r="D46" s="12"/>
    </row>
    <row r="47" ht="15.75" customHeight="1">
      <c r="D47" s="12"/>
    </row>
    <row r="48" ht="15.75" customHeight="1">
      <c r="D48" s="12"/>
    </row>
    <row r="49" ht="15.75" customHeight="1">
      <c r="D49" s="12"/>
    </row>
    <row r="50" ht="15.75" customHeight="1">
      <c r="D50" s="12"/>
    </row>
    <row r="51" ht="15.75" customHeight="1">
      <c r="D51" s="12"/>
    </row>
    <row r="52" ht="15.75" customHeight="1">
      <c r="D52" s="12"/>
    </row>
    <row r="53" ht="15.75" customHeight="1">
      <c r="D53" s="12"/>
    </row>
    <row r="54" ht="15.75" customHeight="1">
      <c r="D54" s="12"/>
    </row>
    <row r="55" ht="15.75" customHeight="1">
      <c r="D55" s="12"/>
    </row>
    <row r="56" ht="15.75" customHeight="1">
      <c r="D56" s="12"/>
    </row>
    <row r="57" ht="15.75" customHeight="1">
      <c r="D57" s="12"/>
    </row>
    <row r="58" ht="15.75" customHeight="1">
      <c r="D58" s="12"/>
    </row>
    <row r="59" ht="15.75" customHeight="1">
      <c r="D59" s="12"/>
    </row>
    <row r="60" ht="15.75" customHeight="1">
      <c r="D60" s="12"/>
    </row>
    <row r="61" ht="15.75" customHeight="1">
      <c r="D61" s="12"/>
    </row>
    <row r="62" ht="15.75" customHeight="1">
      <c r="D62" s="12"/>
    </row>
    <row r="63" ht="15.75" customHeight="1">
      <c r="D63" s="12"/>
    </row>
    <row r="64" ht="15.75" customHeight="1">
      <c r="D64" s="12"/>
    </row>
    <row r="65" ht="15.75" customHeight="1">
      <c r="D65" s="12"/>
    </row>
    <row r="66" ht="15.75" customHeight="1">
      <c r="D66" s="12"/>
    </row>
    <row r="67" ht="15.75" customHeight="1">
      <c r="D67" s="12"/>
    </row>
    <row r="68" ht="15.75" customHeight="1">
      <c r="D68" s="12"/>
    </row>
    <row r="69" ht="15.75" customHeight="1">
      <c r="D69" s="12"/>
    </row>
    <row r="70" ht="15.75" customHeight="1">
      <c r="D70" s="12"/>
    </row>
    <row r="71" ht="15.75" customHeight="1">
      <c r="D71" s="12"/>
    </row>
    <row r="72" ht="15.75" customHeight="1">
      <c r="D72" s="12"/>
    </row>
    <row r="73" ht="15.75" customHeight="1">
      <c r="D73" s="12"/>
    </row>
    <row r="74" ht="15.75" customHeight="1">
      <c r="D74" s="12"/>
    </row>
    <row r="75" ht="15.75" customHeight="1">
      <c r="D75" s="12"/>
    </row>
    <row r="76" ht="15.75" customHeight="1">
      <c r="D76" s="12"/>
    </row>
    <row r="77" ht="15.75" customHeight="1">
      <c r="D77" s="12"/>
    </row>
    <row r="78" ht="15.75" customHeight="1">
      <c r="D78" s="12"/>
    </row>
    <row r="79" ht="15.75" customHeight="1">
      <c r="D79" s="12"/>
    </row>
    <row r="80" ht="15.75" customHeight="1">
      <c r="D80" s="12"/>
    </row>
    <row r="81" ht="15.75" customHeight="1">
      <c r="D81" s="12"/>
    </row>
    <row r="82" ht="15.75" customHeight="1">
      <c r="D82" s="12"/>
    </row>
    <row r="83" ht="15.75" customHeight="1">
      <c r="D83" s="12"/>
    </row>
    <row r="84" ht="15.75" customHeight="1">
      <c r="D84" s="12"/>
    </row>
    <row r="85" ht="15.75" customHeight="1">
      <c r="D85" s="12"/>
    </row>
    <row r="86" ht="15.75" customHeight="1">
      <c r="D86" s="12"/>
    </row>
    <row r="87" ht="15.75" customHeight="1">
      <c r="D87" s="12"/>
    </row>
    <row r="88" ht="15.75" customHeight="1">
      <c r="D88" s="12"/>
    </row>
    <row r="89" ht="15.75" customHeight="1">
      <c r="D89" s="12"/>
    </row>
    <row r="90" ht="15.75" customHeight="1">
      <c r="D90" s="12"/>
    </row>
    <row r="91" ht="15.75" customHeight="1">
      <c r="D91" s="12"/>
    </row>
    <row r="92" ht="15.75" customHeight="1">
      <c r="D92" s="12"/>
    </row>
    <row r="93" ht="15.75" customHeight="1">
      <c r="D93" s="12"/>
    </row>
    <row r="94" ht="15.75" customHeight="1">
      <c r="D94" s="12"/>
    </row>
    <row r="95" ht="15.75" customHeight="1">
      <c r="D95" s="12"/>
    </row>
    <row r="96" ht="15.75" customHeight="1">
      <c r="D96" s="12"/>
    </row>
    <row r="97" ht="15.75" customHeight="1">
      <c r="D97" s="12"/>
    </row>
    <row r="98" ht="15.75" customHeight="1">
      <c r="D98" s="12"/>
    </row>
    <row r="99" ht="15.75" customHeight="1">
      <c r="D99" s="12"/>
    </row>
    <row r="100" ht="15.75" customHeight="1">
      <c r="D100" s="12"/>
    </row>
    <row r="101" ht="15.75" customHeight="1">
      <c r="D101" s="12"/>
    </row>
    <row r="102" ht="15.75" customHeight="1">
      <c r="D102" s="12"/>
    </row>
    <row r="103" ht="15.75" customHeight="1">
      <c r="D103" s="12"/>
    </row>
    <row r="104" ht="15.75" customHeight="1">
      <c r="D104" s="12"/>
    </row>
    <row r="105" ht="15.75" customHeight="1">
      <c r="D105" s="12"/>
    </row>
    <row r="106" ht="15.75" customHeight="1">
      <c r="D106" s="12"/>
    </row>
    <row r="107" ht="15.75" customHeight="1">
      <c r="D107" s="12"/>
    </row>
    <row r="108" ht="15.75" customHeight="1">
      <c r="D108" s="12"/>
    </row>
    <row r="109" ht="15.75" customHeight="1">
      <c r="D109" s="12"/>
    </row>
    <row r="110" ht="15.75" customHeight="1">
      <c r="D110" s="12"/>
    </row>
    <row r="111" ht="15.75" customHeight="1">
      <c r="D111" s="12"/>
    </row>
    <row r="112" ht="15.75" customHeight="1">
      <c r="D112" s="12"/>
    </row>
    <row r="113" ht="15.75" customHeight="1">
      <c r="D113" s="12"/>
    </row>
    <row r="114" ht="15.75" customHeight="1">
      <c r="D114" s="12"/>
    </row>
    <row r="115" ht="15.75" customHeight="1">
      <c r="D115" s="12"/>
    </row>
    <row r="116" ht="15.75" customHeight="1">
      <c r="D116" s="12"/>
    </row>
    <row r="117" ht="15.75" customHeight="1">
      <c r="D117" s="12"/>
    </row>
    <row r="118" ht="15.75" customHeight="1">
      <c r="D118" s="12"/>
    </row>
    <row r="119" ht="15.75" customHeight="1">
      <c r="D119" s="12"/>
    </row>
    <row r="120" ht="15.75" customHeight="1">
      <c r="D120" s="12"/>
    </row>
    <row r="121" ht="15.75" customHeight="1">
      <c r="D121" s="12"/>
    </row>
    <row r="122" ht="15.75" customHeight="1">
      <c r="D122" s="12"/>
    </row>
    <row r="123" ht="15.75" customHeight="1">
      <c r="D123" s="12"/>
    </row>
    <row r="124" ht="15.75" customHeight="1">
      <c r="D124" s="12"/>
    </row>
    <row r="125" ht="15.75" customHeight="1">
      <c r="D125" s="12"/>
    </row>
    <row r="126" ht="15.75" customHeight="1">
      <c r="D126" s="12"/>
    </row>
    <row r="127" ht="15.75" customHeight="1">
      <c r="D127" s="12"/>
    </row>
    <row r="128" ht="15.75" customHeight="1">
      <c r="D128" s="12"/>
    </row>
    <row r="129" ht="15.75" customHeight="1">
      <c r="D129" s="12"/>
    </row>
    <row r="130" ht="15.75" customHeight="1">
      <c r="D130" s="12"/>
    </row>
    <row r="131" ht="15.75" customHeight="1">
      <c r="D131" s="12"/>
    </row>
    <row r="132" ht="15.75" customHeight="1">
      <c r="D132" s="12"/>
    </row>
    <row r="133" ht="15.75" customHeight="1">
      <c r="D133" s="12"/>
    </row>
    <row r="134" ht="15.75" customHeight="1">
      <c r="D134" s="12"/>
    </row>
    <row r="135" ht="15.75" customHeight="1">
      <c r="D135" s="12"/>
    </row>
    <row r="136" ht="15.75" customHeight="1">
      <c r="D136" s="12"/>
    </row>
    <row r="137" ht="15.75" customHeight="1">
      <c r="D137" s="12"/>
    </row>
    <row r="138" ht="15.75" customHeight="1">
      <c r="D138" s="12"/>
    </row>
    <row r="139" ht="15.75" customHeight="1">
      <c r="D139" s="12"/>
    </row>
    <row r="140" ht="15.75" customHeight="1">
      <c r="D140" s="12"/>
    </row>
    <row r="141" ht="15.75" customHeight="1">
      <c r="D141" s="12"/>
    </row>
    <row r="142" ht="15.75" customHeight="1">
      <c r="D142" s="12"/>
    </row>
    <row r="143" ht="15.75" customHeight="1">
      <c r="D143" s="12"/>
    </row>
    <row r="144" ht="15.75" customHeight="1">
      <c r="D144" s="12"/>
    </row>
    <row r="145" ht="15.75" customHeight="1">
      <c r="D145" s="12"/>
    </row>
    <row r="146" ht="15.75" customHeight="1">
      <c r="D146" s="12"/>
    </row>
    <row r="147" ht="15.75" customHeight="1">
      <c r="D147" s="12"/>
    </row>
    <row r="148" ht="15.75" customHeight="1">
      <c r="D148" s="12"/>
    </row>
    <row r="149" ht="15.75" customHeight="1">
      <c r="D149" s="12"/>
    </row>
    <row r="150" ht="15.75" customHeight="1">
      <c r="D150" s="12"/>
    </row>
    <row r="151" ht="15.75" customHeight="1">
      <c r="D151" s="12"/>
    </row>
    <row r="152" ht="15.75" customHeight="1">
      <c r="D152" s="12"/>
    </row>
    <row r="153" ht="15.75" customHeight="1">
      <c r="D153" s="12"/>
    </row>
    <row r="154" ht="15.75" customHeight="1">
      <c r="D154" s="12"/>
    </row>
    <row r="155" ht="15.75" customHeight="1">
      <c r="D155" s="12"/>
    </row>
    <row r="156" ht="15.75" customHeight="1">
      <c r="D156" s="12"/>
    </row>
    <row r="157" ht="15.75" customHeight="1">
      <c r="D157" s="12"/>
    </row>
    <row r="158" ht="15.75" customHeight="1">
      <c r="D158" s="12"/>
    </row>
    <row r="159" ht="15.75" customHeight="1">
      <c r="D159" s="12"/>
    </row>
    <row r="160" ht="15.75" customHeight="1">
      <c r="D160" s="12"/>
    </row>
    <row r="161" ht="15.75" customHeight="1">
      <c r="D161" s="12"/>
    </row>
    <row r="162" ht="15.75" customHeight="1">
      <c r="D162" s="12"/>
    </row>
    <row r="163" ht="15.75" customHeight="1">
      <c r="D163" s="12"/>
    </row>
    <row r="164" ht="15.75" customHeight="1">
      <c r="D164" s="12"/>
    </row>
    <row r="165" ht="15.75" customHeight="1">
      <c r="D165" s="12"/>
    </row>
    <row r="166" ht="15.75" customHeight="1">
      <c r="D166" s="12"/>
    </row>
    <row r="167" ht="15.75" customHeight="1">
      <c r="D167" s="12"/>
    </row>
    <row r="168" ht="15.75" customHeight="1">
      <c r="D168" s="12"/>
    </row>
    <row r="169" ht="15.75" customHeight="1">
      <c r="D169" s="12"/>
    </row>
    <row r="170" ht="15.75" customHeight="1">
      <c r="D170" s="12"/>
    </row>
    <row r="171" ht="15.75" customHeight="1">
      <c r="D171" s="12"/>
    </row>
    <row r="172" ht="15.75" customHeight="1">
      <c r="D172" s="12"/>
    </row>
    <row r="173" ht="15.75" customHeight="1">
      <c r="D173" s="12"/>
    </row>
    <row r="174" ht="15.75" customHeight="1">
      <c r="D174" s="12"/>
    </row>
    <row r="175" ht="15.75" customHeight="1">
      <c r="D175" s="12"/>
    </row>
    <row r="176" ht="15.75" customHeight="1">
      <c r="D176" s="12"/>
    </row>
    <row r="177" ht="15.75" customHeight="1">
      <c r="D177" s="12"/>
    </row>
    <row r="178" ht="15.75" customHeight="1">
      <c r="D178" s="12"/>
    </row>
    <row r="179" ht="15.75" customHeight="1">
      <c r="D179" s="12"/>
    </row>
    <row r="180" ht="15.75" customHeight="1">
      <c r="D180" s="12"/>
    </row>
    <row r="181" ht="15.75" customHeight="1">
      <c r="D181" s="12"/>
    </row>
    <row r="182" ht="15.75" customHeight="1">
      <c r="D182" s="12"/>
    </row>
    <row r="183" ht="15.75" customHeight="1">
      <c r="D183" s="12"/>
    </row>
    <row r="184" ht="15.75" customHeight="1">
      <c r="D184" s="12"/>
    </row>
    <row r="185" ht="15.75" customHeight="1">
      <c r="D185" s="12"/>
    </row>
    <row r="186" ht="15.75" customHeight="1">
      <c r="D186" s="12"/>
    </row>
    <row r="187" ht="15.75" customHeight="1">
      <c r="D187" s="12"/>
    </row>
    <row r="188" ht="15.75" customHeight="1">
      <c r="D188" s="12"/>
    </row>
    <row r="189" ht="15.75" customHeight="1">
      <c r="D189" s="12"/>
    </row>
    <row r="190" ht="15.75" customHeight="1">
      <c r="D190" s="12"/>
    </row>
    <row r="191" ht="15.75" customHeight="1">
      <c r="D191" s="12"/>
    </row>
    <row r="192" ht="15.75" customHeight="1">
      <c r="D192" s="12"/>
    </row>
    <row r="193" ht="15.75" customHeight="1">
      <c r="D193" s="12"/>
    </row>
    <row r="194" ht="15.75" customHeight="1">
      <c r="D194" s="12"/>
    </row>
    <row r="195" ht="15.75" customHeight="1">
      <c r="D195" s="12"/>
    </row>
    <row r="196" ht="15.75" customHeight="1">
      <c r="D196" s="12"/>
    </row>
    <row r="197" ht="15.75" customHeight="1">
      <c r="D197" s="12"/>
    </row>
    <row r="198" ht="15.75" customHeight="1">
      <c r="D198" s="12"/>
    </row>
    <row r="199" ht="15.75" customHeight="1">
      <c r="D199" s="12"/>
    </row>
    <row r="200" ht="15.75" customHeight="1">
      <c r="D200" s="12"/>
    </row>
    <row r="201" ht="15.75" customHeight="1">
      <c r="D201" s="12"/>
    </row>
    <row r="202" ht="15.75" customHeight="1">
      <c r="D202" s="12"/>
    </row>
    <row r="203" ht="15.75" customHeight="1">
      <c r="D203" s="12"/>
    </row>
    <row r="204" ht="15.75" customHeight="1">
      <c r="D204" s="12"/>
    </row>
    <row r="205" ht="15.75" customHeight="1">
      <c r="D205" s="12"/>
    </row>
    <row r="206" ht="15.75" customHeight="1">
      <c r="D206" s="12"/>
    </row>
    <row r="207" ht="15.75" customHeight="1">
      <c r="D207" s="12"/>
    </row>
    <row r="208" ht="15.75" customHeight="1">
      <c r="D208" s="12"/>
    </row>
    <row r="209" ht="15.75" customHeight="1">
      <c r="D209" s="12"/>
    </row>
    <row r="210" ht="15.75" customHeight="1">
      <c r="D210" s="12"/>
    </row>
    <row r="211" ht="15.75" customHeight="1">
      <c r="D211" s="12"/>
    </row>
    <row r="212" ht="15.75" customHeight="1">
      <c r="D212" s="12"/>
    </row>
    <row r="213" ht="15.75" customHeight="1">
      <c r="D213" s="12"/>
    </row>
    <row r="214" ht="15.75" customHeight="1">
      <c r="D214" s="12"/>
    </row>
    <row r="215" ht="15.75" customHeight="1">
      <c r="D215" s="12"/>
    </row>
    <row r="216" ht="15.75" customHeight="1">
      <c r="D216" s="12"/>
    </row>
    <row r="217" ht="15.75" customHeight="1">
      <c r="D217" s="12"/>
    </row>
    <row r="218" ht="15.75" customHeight="1">
      <c r="D218" s="12"/>
    </row>
    <row r="219" ht="15.75" customHeight="1">
      <c r="D219" s="12"/>
    </row>
    <row r="220" ht="15.75" customHeight="1">
      <c r="D220" s="1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21.63"/>
    <col customWidth="1" min="3" max="3" width="13.38"/>
    <col customWidth="1" min="4" max="4" width="19.88"/>
    <col customWidth="1" min="5" max="5" width="12.63"/>
    <col customWidth="1" min="6" max="6" width="31.25"/>
    <col customWidth="1" min="7" max="7" width="31.75"/>
  </cols>
  <sheetData>
    <row r="1" ht="15.75" customHeight="1">
      <c r="A1" s="13"/>
      <c r="B1" s="14"/>
      <c r="C1" s="14"/>
      <c r="D1" s="13"/>
      <c r="E1" s="15"/>
      <c r="F1" s="15"/>
      <c r="G1" s="15"/>
      <c r="H1" s="14"/>
      <c r="I1" s="16" t="s">
        <v>17</v>
      </c>
      <c r="J1" s="17"/>
      <c r="K1" s="17"/>
      <c r="L1" s="17"/>
      <c r="M1" s="17"/>
      <c r="N1" s="17"/>
    </row>
    <row r="2" ht="15.75" customHeight="1">
      <c r="A2" s="18" t="s">
        <v>0</v>
      </c>
      <c r="B2" s="18" t="s">
        <v>18</v>
      </c>
      <c r="C2" s="18" t="s">
        <v>2</v>
      </c>
      <c r="D2" s="18" t="s">
        <v>19</v>
      </c>
      <c r="E2" s="18" t="s">
        <v>20</v>
      </c>
      <c r="F2" s="18" t="s">
        <v>21</v>
      </c>
      <c r="G2" s="18" t="s">
        <v>22</v>
      </c>
      <c r="H2" s="18" t="s">
        <v>23</v>
      </c>
      <c r="I2" s="19" t="s">
        <v>24</v>
      </c>
      <c r="J2" s="19" t="s">
        <v>25</v>
      </c>
      <c r="K2" s="19" t="s">
        <v>26</v>
      </c>
      <c r="L2" s="19" t="s">
        <v>27</v>
      </c>
      <c r="M2" s="19" t="s">
        <v>28</v>
      </c>
      <c r="N2" s="19" t="s">
        <v>4</v>
      </c>
      <c r="O2" s="20"/>
      <c r="P2" s="20"/>
      <c r="Q2" s="20"/>
      <c r="R2" s="20"/>
      <c r="S2" s="20"/>
      <c r="T2" s="20"/>
      <c r="U2" s="20"/>
    </row>
    <row r="3" ht="15.75" customHeight="1">
      <c r="A3" s="21">
        <v>1.0</v>
      </c>
      <c r="B3" s="22" t="s">
        <v>29</v>
      </c>
      <c r="C3" s="22" t="s">
        <v>10</v>
      </c>
      <c r="D3" s="23" t="s">
        <v>30</v>
      </c>
      <c r="E3" s="23" t="s">
        <v>31</v>
      </c>
      <c r="F3" s="23" t="s">
        <v>32</v>
      </c>
      <c r="G3" s="23" t="s">
        <v>33</v>
      </c>
      <c r="H3" s="24">
        <v>2.1127365E7</v>
      </c>
      <c r="I3" s="25" t="s">
        <v>33</v>
      </c>
      <c r="J3" s="26" t="s">
        <v>34</v>
      </c>
      <c r="K3" s="27"/>
      <c r="L3" s="28">
        <v>2.1127365E7</v>
      </c>
      <c r="M3" s="29">
        <v>45524.0</v>
      </c>
      <c r="N3" s="30"/>
      <c r="O3" s="31"/>
      <c r="P3" s="31"/>
      <c r="Q3" s="31"/>
      <c r="R3" s="31"/>
      <c r="S3" s="31"/>
      <c r="T3" s="31"/>
      <c r="U3" s="31"/>
    </row>
    <row r="4" ht="15.75" customHeight="1">
      <c r="A4" s="32"/>
      <c r="B4" s="22" t="s">
        <v>35</v>
      </c>
      <c r="C4" s="22" t="s">
        <v>10</v>
      </c>
      <c r="D4" s="23" t="s">
        <v>36</v>
      </c>
      <c r="E4" s="23" t="s">
        <v>31</v>
      </c>
      <c r="F4" s="23" t="s">
        <v>37</v>
      </c>
      <c r="G4" s="23" t="s">
        <v>38</v>
      </c>
      <c r="H4" s="24">
        <v>2.1127365E7</v>
      </c>
      <c r="I4" s="25" t="s">
        <v>38</v>
      </c>
      <c r="J4" s="26" t="s">
        <v>34</v>
      </c>
      <c r="K4" s="27"/>
      <c r="L4" s="28">
        <v>2.1127365E7</v>
      </c>
      <c r="M4" s="33">
        <v>45524.0</v>
      </c>
      <c r="N4" s="34"/>
      <c r="O4" s="31"/>
      <c r="P4" s="31"/>
      <c r="Q4" s="31"/>
      <c r="R4" s="31"/>
      <c r="S4" s="31"/>
      <c r="T4" s="31"/>
      <c r="U4" s="31"/>
    </row>
    <row r="5" ht="15.75" customHeight="1">
      <c r="A5" s="32"/>
      <c r="B5" s="22" t="s">
        <v>39</v>
      </c>
      <c r="C5" s="22" t="s">
        <v>10</v>
      </c>
      <c r="D5" s="23" t="s">
        <v>40</v>
      </c>
      <c r="E5" s="23" t="s">
        <v>31</v>
      </c>
      <c r="F5" s="23" t="s">
        <v>41</v>
      </c>
      <c r="G5" s="23" t="s">
        <v>42</v>
      </c>
      <c r="H5" s="24">
        <v>2.1127365E7</v>
      </c>
      <c r="I5" s="25" t="s">
        <v>38</v>
      </c>
      <c r="J5" s="26" t="s">
        <v>34</v>
      </c>
      <c r="K5" s="27"/>
      <c r="L5" s="28">
        <v>2.1127365E7</v>
      </c>
      <c r="M5" s="33">
        <v>45524.0</v>
      </c>
      <c r="N5" s="34"/>
      <c r="O5" s="31"/>
      <c r="P5" s="31"/>
      <c r="Q5" s="31"/>
      <c r="R5" s="31"/>
      <c r="S5" s="31"/>
      <c r="T5" s="31"/>
      <c r="U5" s="31"/>
    </row>
    <row r="6" ht="15.75" customHeight="1">
      <c r="A6" s="32"/>
      <c r="B6" s="22" t="s">
        <v>43</v>
      </c>
      <c r="C6" s="22" t="s">
        <v>10</v>
      </c>
      <c r="D6" s="23" t="s">
        <v>44</v>
      </c>
      <c r="E6" s="23" t="s">
        <v>31</v>
      </c>
      <c r="F6" s="23" t="s">
        <v>45</v>
      </c>
      <c r="G6" s="23" t="s">
        <v>46</v>
      </c>
      <c r="H6" s="24">
        <v>2.1127365E7</v>
      </c>
      <c r="I6" s="25" t="s">
        <v>47</v>
      </c>
      <c r="J6" s="26" t="s">
        <v>48</v>
      </c>
      <c r="K6" s="35">
        <v>53617.0</v>
      </c>
      <c r="L6" s="28">
        <v>2.1127365E7</v>
      </c>
      <c r="M6" s="33">
        <v>45524.0</v>
      </c>
      <c r="N6" s="34"/>
      <c r="O6" s="31"/>
      <c r="P6" s="31"/>
      <c r="Q6" s="31"/>
      <c r="R6" s="31"/>
      <c r="S6" s="31"/>
      <c r="T6" s="31"/>
      <c r="U6" s="31"/>
    </row>
    <row r="7" ht="15.75" customHeight="1">
      <c r="A7" s="32"/>
      <c r="B7" s="22" t="s">
        <v>49</v>
      </c>
      <c r="C7" s="22" t="s">
        <v>10</v>
      </c>
      <c r="D7" s="23" t="s">
        <v>50</v>
      </c>
      <c r="E7" s="23" t="s">
        <v>31</v>
      </c>
      <c r="F7" s="23" t="s">
        <v>51</v>
      </c>
      <c r="G7" s="23" t="s">
        <v>52</v>
      </c>
      <c r="H7" s="24">
        <v>2.1127365E7</v>
      </c>
      <c r="I7" s="25" t="s">
        <v>52</v>
      </c>
      <c r="J7" s="26" t="s">
        <v>34</v>
      </c>
      <c r="K7" s="27"/>
      <c r="L7" s="28">
        <v>2.1127365E7</v>
      </c>
      <c r="M7" s="33">
        <v>45524.0</v>
      </c>
      <c r="N7" s="34"/>
      <c r="O7" s="31"/>
      <c r="P7" s="31"/>
      <c r="Q7" s="31"/>
      <c r="R7" s="31"/>
      <c r="S7" s="31"/>
      <c r="T7" s="31"/>
      <c r="U7" s="31"/>
    </row>
    <row r="8" ht="15.75" customHeight="1">
      <c r="A8" s="32"/>
      <c r="B8" s="22" t="s">
        <v>53</v>
      </c>
      <c r="C8" s="22" t="s">
        <v>10</v>
      </c>
      <c r="D8" s="23" t="s">
        <v>54</v>
      </c>
      <c r="E8" s="23" t="s">
        <v>31</v>
      </c>
      <c r="F8" s="23" t="s">
        <v>55</v>
      </c>
      <c r="G8" s="23" t="s">
        <v>56</v>
      </c>
      <c r="H8" s="24">
        <v>2.1127365E7</v>
      </c>
      <c r="I8" s="25" t="s">
        <v>56</v>
      </c>
      <c r="J8" s="26" t="s">
        <v>34</v>
      </c>
      <c r="K8" s="27"/>
      <c r="L8" s="28">
        <v>2.1127365E7</v>
      </c>
      <c r="M8" s="33">
        <v>45524.0</v>
      </c>
      <c r="N8" s="34"/>
      <c r="O8" s="31"/>
      <c r="P8" s="31"/>
      <c r="Q8" s="31"/>
      <c r="R8" s="31"/>
      <c r="S8" s="31"/>
      <c r="T8" s="31"/>
      <c r="U8" s="31"/>
    </row>
    <row r="9" ht="15.75" customHeight="1">
      <c r="A9" s="32"/>
      <c r="B9" s="22" t="s">
        <v>57</v>
      </c>
      <c r="C9" s="22" t="s">
        <v>10</v>
      </c>
      <c r="D9" s="23" t="s">
        <v>58</v>
      </c>
      <c r="E9" s="23" t="s">
        <v>31</v>
      </c>
      <c r="F9" s="23" t="s">
        <v>59</v>
      </c>
      <c r="G9" s="23" t="s">
        <v>56</v>
      </c>
      <c r="H9" s="24">
        <v>2.1127365E7</v>
      </c>
      <c r="I9" s="25" t="s">
        <v>56</v>
      </c>
      <c r="J9" s="26" t="s">
        <v>34</v>
      </c>
      <c r="K9" s="27"/>
      <c r="L9" s="28">
        <v>2.1127365E7</v>
      </c>
      <c r="M9" s="33">
        <v>45524.0</v>
      </c>
      <c r="N9" s="34"/>
      <c r="O9" s="31"/>
      <c r="P9" s="31"/>
      <c r="Q9" s="31"/>
      <c r="R9" s="31"/>
      <c r="S9" s="31"/>
      <c r="T9" s="31"/>
      <c r="U9" s="31"/>
    </row>
    <row r="10" ht="15.75" customHeight="1">
      <c r="A10" s="32"/>
      <c r="B10" s="22" t="s">
        <v>60</v>
      </c>
      <c r="C10" s="22" t="s">
        <v>10</v>
      </c>
      <c r="D10" s="23" t="s">
        <v>61</v>
      </c>
      <c r="E10" s="23" t="s">
        <v>31</v>
      </c>
      <c r="F10" s="23" t="s">
        <v>62</v>
      </c>
      <c r="G10" s="23" t="s">
        <v>63</v>
      </c>
      <c r="H10" s="24">
        <v>2.1127365E7</v>
      </c>
      <c r="I10" s="25" t="s">
        <v>56</v>
      </c>
      <c r="J10" s="26" t="s">
        <v>34</v>
      </c>
      <c r="K10" s="27"/>
      <c r="L10" s="28">
        <v>2.1127365E7</v>
      </c>
      <c r="M10" s="33">
        <v>45524.0</v>
      </c>
      <c r="N10" s="34"/>
      <c r="O10" s="31"/>
      <c r="P10" s="31"/>
      <c r="Q10" s="31"/>
      <c r="R10" s="31"/>
      <c r="S10" s="31"/>
      <c r="T10" s="31"/>
      <c r="U10" s="31"/>
    </row>
    <row r="11" ht="15.75" customHeight="1">
      <c r="A11" s="32"/>
      <c r="B11" s="22" t="s">
        <v>64</v>
      </c>
      <c r="C11" s="22" t="s">
        <v>10</v>
      </c>
      <c r="D11" s="23" t="s">
        <v>65</v>
      </c>
      <c r="E11" s="23" t="s">
        <v>31</v>
      </c>
      <c r="F11" s="23" t="s">
        <v>66</v>
      </c>
      <c r="G11" s="23" t="s">
        <v>67</v>
      </c>
      <c r="H11" s="24">
        <v>2.1127365E7</v>
      </c>
      <c r="I11" s="25" t="s">
        <v>67</v>
      </c>
      <c r="J11" s="26" t="s">
        <v>34</v>
      </c>
      <c r="K11" s="27"/>
      <c r="L11" s="28">
        <v>2.1127365E7</v>
      </c>
      <c r="M11" s="33">
        <v>45524.0</v>
      </c>
      <c r="N11" s="34"/>
      <c r="O11" s="31"/>
      <c r="P11" s="31"/>
      <c r="Q11" s="31"/>
      <c r="R11" s="31"/>
      <c r="S11" s="31"/>
      <c r="T11" s="31"/>
      <c r="U11" s="31"/>
    </row>
    <row r="12" ht="15.75" customHeight="1">
      <c r="A12" s="32"/>
      <c r="B12" s="22" t="s">
        <v>68</v>
      </c>
      <c r="C12" s="22" t="s">
        <v>10</v>
      </c>
      <c r="D12" s="23" t="s">
        <v>69</v>
      </c>
      <c r="E12" s="23" t="s">
        <v>70</v>
      </c>
      <c r="F12" s="23" t="s">
        <v>71</v>
      </c>
      <c r="G12" s="23" t="s">
        <v>72</v>
      </c>
      <c r="H12" s="24">
        <v>2.1127365E7</v>
      </c>
      <c r="I12" s="25" t="s">
        <v>72</v>
      </c>
      <c r="J12" s="26" t="s">
        <v>34</v>
      </c>
      <c r="K12" s="27"/>
      <c r="L12" s="28">
        <v>2.1127365E7</v>
      </c>
      <c r="M12" s="33">
        <v>45524.0</v>
      </c>
      <c r="N12" s="34"/>
      <c r="O12" s="31"/>
      <c r="P12" s="31"/>
      <c r="Q12" s="31"/>
      <c r="R12" s="31"/>
      <c r="S12" s="31"/>
      <c r="T12" s="31"/>
      <c r="U12" s="31"/>
    </row>
    <row r="13" ht="15.75" customHeight="1">
      <c r="A13" s="32"/>
      <c r="B13" s="22" t="s">
        <v>73</v>
      </c>
      <c r="C13" s="22" t="s">
        <v>7</v>
      </c>
      <c r="D13" s="23" t="s">
        <v>74</v>
      </c>
      <c r="E13" s="23" t="s">
        <v>75</v>
      </c>
      <c r="F13" s="23" t="s">
        <v>76</v>
      </c>
      <c r="G13" s="23" t="s">
        <v>77</v>
      </c>
      <c r="H13" s="24">
        <v>2.1127365E7</v>
      </c>
      <c r="I13" s="25" t="s">
        <v>77</v>
      </c>
      <c r="J13" s="26" t="s">
        <v>34</v>
      </c>
      <c r="K13" s="27"/>
      <c r="L13" s="28">
        <v>2.1127365E7</v>
      </c>
      <c r="M13" s="33">
        <v>45524.0</v>
      </c>
      <c r="N13" s="34"/>
      <c r="O13" s="31"/>
      <c r="P13" s="31"/>
      <c r="Q13" s="31"/>
      <c r="R13" s="31"/>
      <c r="S13" s="31"/>
      <c r="T13" s="31"/>
      <c r="U13" s="31"/>
    </row>
    <row r="14" ht="15.75" customHeight="1">
      <c r="A14" s="32"/>
      <c r="B14" s="22" t="s">
        <v>78</v>
      </c>
      <c r="C14" s="22" t="s">
        <v>7</v>
      </c>
      <c r="D14" s="23" t="s">
        <v>79</v>
      </c>
      <c r="E14" s="23" t="s">
        <v>75</v>
      </c>
      <c r="F14" s="23" t="s">
        <v>80</v>
      </c>
      <c r="G14" s="23" t="s">
        <v>38</v>
      </c>
      <c r="H14" s="24">
        <v>2.1127365E7</v>
      </c>
      <c r="I14" s="25" t="s">
        <v>77</v>
      </c>
      <c r="J14" s="26" t="s">
        <v>48</v>
      </c>
      <c r="K14" s="35">
        <v>53618.0</v>
      </c>
      <c r="L14" s="28">
        <v>2.1127365E7</v>
      </c>
      <c r="M14" s="33">
        <v>45524.0</v>
      </c>
      <c r="N14" s="36"/>
      <c r="O14" s="31"/>
      <c r="P14" s="31"/>
      <c r="Q14" s="31"/>
      <c r="R14" s="31"/>
      <c r="S14" s="31"/>
      <c r="T14" s="31"/>
      <c r="U14" s="31"/>
    </row>
    <row r="15" ht="15.75" customHeight="1">
      <c r="A15" s="32"/>
      <c r="B15" s="22" t="s">
        <v>81</v>
      </c>
      <c r="C15" s="22" t="s">
        <v>7</v>
      </c>
      <c r="D15" s="23" t="s">
        <v>82</v>
      </c>
      <c r="E15" s="23" t="s">
        <v>75</v>
      </c>
      <c r="F15" s="23" t="s">
        <v>83</v>
      </c>
      <c r="G15" s="23" t="s">
        <v>38</v>
      </c>
      <c r="H15" s="24">
        <v>2.1127365E7</v>
      </c>
      <c r="I15" s="25" t="s">
        <v>77</v>
      </c>
      <c r="J15" s="26" t="s">
        <v>48</v>
      </c>
      <c r="K15" s="35">
        <v>53619.0</v>
      </c>
      <c r="L15" s="28">
        <v>2.1127365E7</v>
      </c>
      <c r="M15" s="33">
        <v>45524.0</v>
      </c>
      <c r="N15" s="36"/>
      <c r="O15" s="31"/>
      <c r="P15" s="31"/>
      <c r="Q15" s="31"/>
      <c r="R15" s="31"/>
      <c r="S15" s="31"/>
      <c r="T15" s="31"/>
      <c r="U15" s="31"/>
    </row>
    <row r="16" ht="15.75" customHeight="1">
      <c r="A16" s="32"/>
      <c r="B16" s="22" t="s">
        <v>84</v>
      </c>
      <c r="C16" s="22" t="s">
        <v>7</v>
      </c>
      <c r="D16" s="23" t="s">
        <v>85</v>
      </c>
      <c r="E16" s="23" t="s">
        <v>75</v>
      </c>
      <c r="F16" s="23" t="s">
        <v>86</v>
      </c>
      <c r="G16" s="23" t="s">
        <v>46</v>
      </c>
      <c r="H16" s="24">
        <v>2.1127365E7</v>
      </c>
      <c r="I16" s="25" t="s">
        <v>77</v>
      </c>
      <c r="J16" s="26" t="s">
        <v>48</v>
      </c>
      <c r="K16" s="35">
        <v>53620.0</v>
      </c>
      <c r="L16" s="28">
        <v>2.1127365E7</v>
      </c>
      <c r="M16" s="33">
        <v>45524.0</v>
      </c>
      <c r="N16" s="36"/>
      <c r="O16" s="31"/>
      <c r="P16" s="31"/>
      <c r="Q16" s="31"/>
      <c r="R16" s="31"/>
      <c r="S16" s="31"/>
      <c r="T16" s="31"/>
      <c r="U16" s="31"/>
    </row>
    <row r="17" ht="15.75" customHeight="1">
      <c r="A17" s="32"/>
      <c r="B17" s="22" t="s">
        <v>87</v>
      </c>
      <c r="C17" s="22" t="s">
        <v>7</v>
      </c>
      <c r="D17" s="23" t="s">
        <v>88</v>
      </c>
      <c r="E17" s="23" t="s">
        <v>75</v>
      </c>
      <c r="F17" s="23" t="s">
        <v>89</v>
      </c>
      <c r="G17" s="23" t="s">
        <v>52</v>
      </c>
      <c r="H17" s="24">
        <v>2.1127365E7</v>
      </c>
      <c r="I17" s="25" t="s">
        <v>77</v>
      </c>
      <c r="J17" s="26" t="s">
        <v>48</v>
      </c>
      <c r="K17" s="35">
        <v>53621.0</v>
      </c>
      <c r="L17" s="28">
        <v>2.1127365E7</v>
      </c>
      <c r="M17" s="33">
        <v>45524.0</v>
      </c>
      <c r="N17" s="36"/>
      <c r="O17" s="31"/>
      <c r="P17" s="31"/>
      <c r="Q17" s="31"/>
      <c r="R17" s="31"/>
      <c r="S17" s="31"/>
      <c r="T17" s="31"/>
      <c r="U17" s="31"/>
    </row>
    <row r="18" ht="15.75" customHeight="1">
      <c r="A18" s="32"/>
      <c r="B18" s="22" t="s">
        <v>90</v>
      </c>
      <c r="C18" s="22" t="s">
        <v>7</v>
      </c>
      <c r="D18" s="23" t="s">
        <v>91</v>
      </c>
      <c r="E18" s="23" t="s">
        <v>75</v>
      </c>
      <c r="F18" s="23" t="s">
        <v>92</v>
      </c>
      <c r="G18" s="23" t="s">
        <v>93</v>
      </c>
      <c r="H18" s="24">
        <v>2.1127365E7</v>
      </c>
      <c r="I18" s="25" t="s">
        <v>93</v>
      </c>
      <c r="J18" s="26" t="s">
        <v>34</v>
      </c>
      <c r="K18" s="27"/>
      <c r="L18" s="28">
        <v>2.1127365E7</v>
      </c>
      <c r="M18" s="33">
        <v>45524.0</v>
      </c>
      <c r="N18" s="34"/>
      <c r="O18" s="31"/>
      <c r="P18" s="31"/>
      <c r="Q18" s="31"/>
      <c r="R18" s="31"/>
      <c r="S18" s="31"/>
      <c r="T18" s="31"/>
      <c r="U18" s="31"/>
    </row>
    <row r="19" ht="15.75" customHeight="1">
      <c r="A19" s="32"/>
      <c r="B19" s="22" t="s">
        <v>94</v>
      </c>
      <c r="C19" s="22" t="s">
        <v>7</v>
      </c>
      <c r="D19" s="23" t="s">
        <v>95</v>
      </c>
      <c r="E19" s="23" t="s">
        <v>75</v>
      </c>
      <c r="F19" s="23" t="s">
        <v>96</v>
      </c>
      <c r="G19" s="23" t="s">
        <v>93</v>
      </c>
      <c r="H19" s="24">
        <v>2.1127365E7</v>
      </c>
      <c r="I19" s="25" t="s">
        <v>93</v>
      </c>
      <c r="J19" s="26" t="s">
        <v>34</v>
      </c>
      <c r="K19" s="27"/>
      <c r="L19" s="28">
        <v>2.1127365E7</v>
      </c>
      <c r="M19" s="33">
        <v>45524.0</v>
      </c>
      <c r="N19" s="34"/>
      <c r="O19" s="31"/>
      <c r="P19" s="31"/>
      <c r="Q19" s="31"/>
      <c r="R19" s="31"/>
      <c r="S19" s="31"/>
      <c r="T19" s="31"/>
      <c r="U19" s="31"/>
    </row>
    <row r="20" ht="15.75" customHeight="1">
      <c r="A20" s="32"/>
      <c r="B20" s="22" t="s">
        <v>97</v>
      </c>
      <c r="C20" s="22" t="s">
        <v>7</v>
      </c>
      <c r="D20" s="23" t="s">
        <v>98</v>
      </c>
      <c r="E20" s="23" t="s">
        <v>75</v>
      </c>
      <c r="F20" s="23" t="s">
        <v>99</v>
      </c>
      <c r="G20" s="23" t="s">
        <v>93</v>
      </c>
      <c r="H20" s="24">
        <v>2.1127365E7</v>
      </c>
      <c r="I20" s="25" t="s">
        <v>93</v>
      </c>
      <c r="J20" s="26" t="s">
        <v>34</v>
      </c>
      <c r="K20" s="27"/>
      <c r="L20" s="28">
        <v>2.1127365E7</v>
      </c>
      <c r="M20" s="33">
        <v>45524.0</v>
      </c>
      <c r="N20" s="34"/>
      <c r="O20" s="31"/>
      <c r="P20" s="31"/>
      <c r="Q20" s="31"/>
      <c r="R20" s="31"/>
      <c r="S20" s="31"/>
      <c r="T20" s="31"/>
      <c r="U20" s="31"/>
    </row>
    <row r="21" ht="15.75" customHeight="1">
      <c r="A21" s="32"/>
      <c r="B21" s="22" t="s">
        <v>100</v>
      </c>
      <c r="C21" s="22" t="s">
        <v>7</v>
      </c>
      <c r="D21" s="23" t="s">
        <v>101</v>
      </c>
      <c r="E21" s="23" t="s">
        <v>75</v>
      </c>
      <c r="F21" s="23" t="s">
        <v>102</v>
      </c>
      <c r="G21" s="23" t="s">
        <v>103</v>
      </c>
      <c r="H21" s="24">
        <v>2.1127365E7</v>
      </c>
      <c r="I21" s="25" t="s">
        <v>103</v>
      </c>
      <c r="J21" s="26" t="s">
        <v>34</v>
      </c>
      <c r="K21" s="27"/>
      <c r="L21" s="28">
        <v>2.1127365E7</v>
      </c>
      <c r="M21" s="33">
        <v>45524.0</v>
      </c>
      <c r="N21" s="34"/>
      <c r="O21" s="31"/>
      <c r="P21" s="31"/>
      <c r="Q21" s="31"/>
      <c r="R21" s="31"/>
      <c r="S21" s="31"/>
      <c r="T21" s="31"/>
      <c r="U21" s="31"/>
    </row>
    <row r="22" ht="15.75" customHeight="1">
      <c r="A22" s="32"/>
      <c r="B22" s="22" t="s">
        <v>104</v>
      </c>
      <c r="C22" s="22" t="s">
        <v>7</v>
      </c>
      <c r="D22" s="23" t="s">
        <v>105</v>
      </c>
      <c r="E22" s="23" t="s">
        <v>106</v>
      </c>
      <c r="F22" s="23" t="s">
        <v>76</v>
      </c>
      <c r="G22" s="23" t="s">
        <v>107</v>
      </c>
      <c r="H22" s="24">
        <v>2.1127365E7</v>
      </c>
      <c r="I22" s="25" t="s">
        <v>107</v>
      </c>
      <c r="J22" s="26" t="s">
        <v>34</v>
      </c>
      <c r="K22" s="27"/>
      <c r="L22" s="28">
        <v>2.1127365E7</v>
      </c>
      <c r="M22" s="33">
        <v>45524.0</v>
      </c>
      <c r="N22" s="34"/>
      <c r="O22" s="31"/>
      <c r="P22" s="31"/>
      <c r="Q22" s="31"/>
      <c r="R22" s="31"/>
      <c r="S22" s="31"/>
      <c r="T22" s="31"/>
      <c r="U22" s="31"/>
    </row>
    <row r="23" ht="15.75" customHeight="1">
      <c r="A23" s="32"/>
      <c r="B23" s="22" t="s">
        <v>108</v>
      </c>
      <c r="C23" s="22" t="s">
        <v>13</v>
      </c>
      <c r="D23" s="23" t="s">
        <v>109</v>
      </c>
      <c r="E23" s="23" t="s">
        <v>75</v>
      </c>
      <c r="F23" s="23" t="s">
        <v>110</v>
      </c>
      <c r="G23" s="23" t="s">
        <v>111</v>
      </c>
      <c r="H23" s="24">
        <v>2.1127365E7</v>
      </c>
      <c r="I23" s="25" t="s">
        <v>112</v>
      </c>
      <c r="J23" s="26" t="s">
        <v>48</v>
      </c>
      <c r="K23" s="35">
        <v>53622.0</v>
      </c>
      <c r="L23" s="28">
        <v>2.1127365E7</v>
      </c>
      <c r="M23" s="33">
        <v>45524.0</v>
      </c>
      <c r="N23" s="34"/>
      <c r="O23" s="31"/>
      <c r="P23" s="31"/>
      <c r="Q23" s="31"/>
      <c r="R23" s="31"/>
      <c r="S23" s="31"/>
      <c r="T23" s="31"/>
      <c r="U23" s="31"/>
    </row>
    <row r="24" ht="15.75" customHeight="1">
      <c r="A24" s="32"/>
      <c r="B24" s="22" t="s">
        <v>113</v>
      </c>
      <c r="C24" s="22" t="s">
        <v>13</v>
      </c>
      <c r="D24" s="23" t="s">
        <v>114</v>
      </c>
      <c r="E24" s="23" t="s">
        <v>75</v>
      </c>
      <c r="F24" s="23" t="s">
        <v>115</v>
      </c>
      <c r="G24" s="23" t="s">
        <v>116</v>
      </c>
      <c r="H24" s="24">
        <v>2.1127365E7</v>
      </c>
      <c r="I24" s="25" t="s">
        <v>116</v>
      </c>
      <c r="J24" s="26" t="s">
        <v>34</v>
      </c>
      <c r="K24" s="27"/>
      <c r="L24" s="28">
        <v>2.1127365E7</v>
      </c>
      <c r="M24" s="33">
        <v>45524.0</v>
      </c>
      <c r="N24" s="34"/>
      <c r="O24" s="31"/>
      <c r="P24" s="31"/>
      <c r="Q24" s="31"/>
      <c r="R24" s="31"/>
      <c r="S24" s="31"/>
      <c r="T24" s="31"/>
      <c r="U24" s="31"/>
    </row>
    <row r="25" ht="15.75" customHeight="1">
      <c r="A25" s="32"/>
      <c r="B25" s="22" t="s">
        <v>117</v>
      </c>
      <c r="C25" s="22" t="s">
        <v>13</v>
      </c>
      <c r="D25" s="23" t="s">
        <v>118</v>
      </c>
      <c r="E25" s="23" t="s">
        <v>75</v>
      </c>
      <c r="F25" s="23" t="s">
        <v>119</v>
      </c>
      <c r="G25" s="23" t="s">
        <v>116</v>
      </c>
      <c r="H25" s="24">
        <v>2.1127365E7</v>
      </c>
      <c r="I25" s="25" t="s">
        <v>116</v>
      </c>
      <c r="J25" s="26" t="s">
        <v>34</v>
      </c>
      <c r="K25" s="27"/>
      <c r="L25" s="28">
        <v>2.1127365E7</v>
      </c>
      <c r="M25" s="33">
        <v>45524.0</v>
      </c>
      <c r="N25" s="34"/>
      <c r="O25" s="31"/>
      <c r="P25" s="31"/>
      <c r="Q25" s="31"/>
      <c r="R25" s="31"/>
      <c r="S25" s="31"/>
      <c r="T25" s="31"/>
      <c r="U25" s="31"/>
    </row>
    <row r="26" ht="15.75" customHeight="1">
      <c r="A26" s="32"/>
      <c r="B26" s="22" t="s">
        <v>120</v>
      </c>
      <c r="C26" s="22" t="s">
        <v>13</v>
      </c>
      <c r="D26" s="23" t="s">
        <v>121</v>
      </c>
      <c r="E26" s="23" t="s">
        <v>75</v>
      </c>
      <c r="F26" s="23" t="s">
        <v>122</v>
      </c>
      <c r="G26" s="23" t="s">
        <v>123</v>
      </c>
      <c r="H26" s="24">
        <v>2.1127365E7</v>
      </c>
      <c r="I26" s="25" t="s">
        <v>124</v>
      </c>
      <c r="J26" s="26" t="s">
        <v>48</v>
      </c>
      <c r="K26" s="35">
        <v>53623.0</v>
      </c>
      <c r="L26" s="28">
        <v>2.1127365E7</v>
      </c>
      <c r="M26" s="33">
        <v>45524.0</v>
      </c>
      <c r="N26" s="34"/>
      <c r="O26" s="31"/>
      <c r="P26" s="31"/>
      <c r="Q26" s="31"/>
      <c r="R26" s="31"/>
      <c r="S26" s="31"/>
      <c r="T26" s="31"/>
      <c r="U26" s="31"/>
    </row>
    <row r="27" ht="15.75" customHeight="1">
      <c r="A27" s="32"/>
      <c r="B27" s="22" t="s">
        <v>125</v>
      </c>
      <c r="C27" s="22" t="s">
        <v>13</v>
      </c>
      <c r="D27" s="23" t="s">
        <v>126</v>
      </c>
      <c r="E27" s="23" t="s">
        <v>75</v>
      </c>
      <c r="F27" s="23" t="s">
        <v>127</v>
      </c>
      <c r="G27" s="23" t="s">
        <v>52</v>
      </c>
      <c r="H27" s="24">
        <v>2.1127365E7</v>
      </c>
      <c r="I27" s="25" t="s">
        <v>128</v>
      </c>
      <c r="J27" s="26" t="s">
        <v>48</v>
      </c>
      <c r="K27" s="35">
        <v>53624.0</v>
      </c>
      <c r="L27" s="28">
        <v>2.1127365E7</v>
      </c>
      <c r="M27" s="33">
        <v>45524.0</v>
      </c>
      <c r="N27" s="34"/>
      <c r="O27" s="31"/>
      <c r="P27" s="31"/>
      <c r="Q27" s="31"/>
      <c r="R27" s="31"/>
      <c r="S27" s="31"/>
      <c r="T27" s="31"/>
      <c r="U27" s="31"/>
    </row>
    <row r="28" ht="15.75" customHeight="1">
      <c r="A28" s="32"/>
      <c r="B28" s="22" t="s">
        <v>129</v>
      </c>
      <c r="C28" s="22" t="s">
        <v>13</v>
      </c>
      <c r="D28" s="23" t="s">
        <v>130</v>
      </c>
      <c r="E28" s="23" t="s">
        <v>75</v>
      </c>
      <c r="F28" s="23" t="s">
        <v>131</v>
      </c>
      <c r="G28" s="23" t="s">
        <v>52</v>
      </c>
      <c r="H28" s="24">
        <v>2.1127365E7</v>
      </c>
      <c r="I28" s="25" t="s">
        <v>52</v>
      </c>
      <c r="J28" s="26" t="s">
        <v>34</v>
      </c>
      <c r="K28" s="27"/>
      <c r="L28" s="28">
        <v>2.1127365E7</v>
      </c>
      <c r="M28" s="33">
        <v>45524.0</v>
      </c>
      <c r="N28" s="34"/>
      <c r="O28" s="31"/>
      <c r="P28" s="31"/>
      <c r="Q28" s="31"/>
      <c r="R28" s="31"/>
      <c r="S28" s="31"/>
      <c r="T28" s="31"/>
      <c r="U28" s="31"/>
    </row>
    <row r="29" ht="15.75" customHeight="1">
      <c r="A29" s="32"/>
      <c r="B29" s="22" t="s">
        <v>132</v>
      </c>
      <c r="C29" s="22" t="s">
        <v>13</v>
      </c>
      <c r="D29" s="23" t="s">
        <v>133</v>
      </c>
      <c r="E29" s="23" t="s">
        <v>75</v>
      </c>
      <c r="F29" s="23" t="s">
        <v>134</v>
      </c>
      <c r="G29" s="23" t="s">
        <v>135</v>
      </c>
      <c r="H29" s="24">
        <v>2.1127365E7</v>
      </c>
      <c r="I29" s="25" t="s">
        <v>135</v>
      </c>
      <c r="J29" s="26" t="s">
        <v>34</v>
      </c>
      <c r="K29" s="27"/>
      <c r="L29" s="28">
        <v>2.1127365E7</v>
      </c>
      <c r="M29" s="33">
        <v>45524.0</v>
      </c>
      <c r="N29" s="34"/>
      <c r="O29" s="31"/>
      <c r="P29" s="31"/>
      <c r="Q29" s="31"/>
      <c r="R29" s="31"/>
      <c r="S29" s="31"/>
      <c r="T29" s="31"/>
      <c r="U29" s="31"/>
    </row>
    <row r="30" ht="15.75" customHeight="1">
      <c r="A30" s="32"/>
      <c r="B30" s="22" t="s">
        <v>136</v>
      </c>
      <c r="C30" s="22" t="s">
        <v>13</v>
      </c>
      <c r="D30" s="23" t="s">
        <v>137</v>
      </c>
      <c r="E30" s="23" t="s">
        <v>75</v>
      </c>
      <c r="F30" s="23" t="s">
        <v>138</v>
      </c>
      <c r="G30" s="23" t="s">
        <v>139</v>
      </c>
      <c r="H30" s="24">
        <v>2.1127365E7</v>
      </c>
      <c r="I30" s="25" t="s">
        <v>139</v>
      </c>
      <c r="J30" s="26" t="s">
        <v>34</v>
      </c>
      <c r="K30" s="27"/>
      <c r="L30" s="28">
        <v>2.1127365E7</v>
      </c>
      <c r="M30" s="33">
        <v>45524.0</v>
      </c>
      <c r="N30" s="34"/>
      <c r="O30" s="31"/>
      <c r="P30" s="31"/>
      <c r="Q30" s="31"/>
      <c r="R30" s="31"/>
      <c r="S30" s="31"/>
      <c r="T30" s="31"/>
      <c r="U30" s="31"/>
    </row>
    <row r="31" ht="15.75" customHeight="1">
      <c r="A31" s="32"/>
      <c r="B31" s="22" t="s">
        <v>140</v>
      </c>
      <c r="C31" s="22" t="s">
        <v>13</v>
      </c>
      <c r="D31" s="23" t="s">
        <v>141</v>
      </c>
      <c r="E31" s="23" t="s">
        <v>75</v>
      </c>
      <c r="F31" s="23" t="s">
        <v>142</v>
      </c>
      <c r="G31" s="23" t="s">
        <v>139</v>
      </c>
      <c r="H31" s="24">
        <v>2.1127365E7</v>
      </c>
      <c r="I31" s="25" t="s">
        <v>139</v>
      </c>
      <c r="J31" s="26" t="s">
        <v>34</v>
      </c>
      <c r="K31" s="27"/>
      <c r="L31" s="28">
        <v>2.1127365E7</v>
      </c>
      <c r="M31" s="33">
        <v>45524.0</v>
      </c>
      <c r="N31" s="34"/>
      <c r="O31" s="31"/>
      <c r="P31" s="31"/>
      <c r="Q31" s="31"/>
      <c r="R31" s="31"/>
      <c r="S31" s="31"/>
      <c r="T31" s="31"/>
      <c r="U31" s="31"/>
    </row>
    <row r="32" ht="15.75" customHeight="1">
      <c r="A32" s="32"/>
      <c r="B32" s="22" t="s">
        <v>143</v>
      </c>
      <c r="C32" s="22" t="s">
        <v>13</v>
      </c>
      <c r="D32" s="23" t="s">
        <v>144</v>
      </c>
      <c r="E32" s="23" t="s">
        <v>75</v>
      </c>
      <c r="F32" s="23" t="s">
        <v>145</v>
      </c>
      <c r="G32" s="23" t="s">
        <v>52</v>
      </c>
      <c r="H32" s="24">
        <v>2.1127365E7</v>
      </c>
      <c r="I32" s="25" t="s">
        <v>52</v>
      </c>
      <c r="J32" s="26" t="s">
        <v>34</v>
      </c>
      <c r="K32" s="27"/>
      <c r="L32" s="28">
        <v>2.1127365E7</v>
      </c>
      <c r="M32" s="33">
        <v>45524.0</v>
      </c>
      <c r="N32" s="34"/>
      <c r="O32" s="31"/>
      <c r="P32" s="31"/>
      <c r="Q32" s="31"/>
      <c r="R32" s="31"/>
      <c r="S32" s="31"/>
      <c r="T32" s="31"/>
      <c r="U32" s="31"/>
    </row>
    <row r="33" ht="15.75" customHeight="1">
      <c r="A33" s="37" t="s">
        <v>15</v>
      </c>
      <c r="B33" s="37"/>
      <c r="C33" s="37"/>
      <c r="D33" s="37"/>
      <c r="E33" s="38"/>
      <c r="F33" s="37"/>
      <c r="G33" s="38"/>
      <c r="H33" s="39"/>
      <c r="I33" s="38"/>
      <c r="J33" s="37"/>
      <c r="K33" s="37"/>
      <c r="L33" s="37"/>
      <c r="M33" s="37"/>
      <c r="N33" s="37"/>
      <c r="O33" s="31"/>
      <c r="P33" s="31"/>
      <c r="Q33" s="31"/>
      <c r="R33" s="31"/>
      <c r="S33" s="31"/>
      <c r="T33" s="31"/>
      <c r="U33" s="31"/>
    </row>
    <row r="34" ht="15.75" customHeight="1">
      <c r="E34" s="12"/>
      <c r="F34" s="12"/>
      <c r="G34" s="12"/>
      <c r="H34" s="40"/>
      <c r="I34" s="12"/>
    </row>
    <row r="35" ht="15.75" customHeight="1">
      <c r="E35" s="12"/>
      <c r="F35" s="12"/>
      <c r="G35" s="12"/>
      <c r="H35" s="40"/>
      <c r="I35" s="12"/>
    </row>
    <row r="36" ht="15.75" customHeight="1">
      <c r="E36" s="12"/>
      <c r="F36" s="12"/>
      <c r="G36" s="12"/>
      <c r="H36" s="40"/>
      <c r="I36" s="12"/>
    </row>
    <row r="37" ht="15.75" customHeight="1">
      <c r="E37" s="12"/>
      <c r="F37" s="12"/>
      <c r="G37" s="12"/>
      <c r="H37" s="40"/>
      <c r="I37" s="12"/>
    </row>
    <row r="38" ht="15.75" customHeight="1">
      <c r="E38" s="12"/>
      <c r="F38" s="12"/>
      <c r="G38" s="12"/>
      <c r="H38" s="41"/>
      <c r="I38" s="12"/>
    </row>
    <row r="39" ht="15.75" customHeight="1">
      <c r="E39" s="12"/>
      <c r="F39" s="12"/>
      <c r="G39" s="12"/>
      <c r="H39" s="41"/>
      <c r="I39" s="12"/>
    </row>
    <row r="40" ht="15.75" customHeight="1">
      <c r="E40" s="12"/>
      <c r="F40" s="12"/>
      <c r="G40" s="12"/>
      <c r="H40" s="41"/>
      <c r="I40" s="12"/>
    </row>
    <row r="41" ht="15.75" customHeight="1">
      <c r="E41" s="12"/>
      <c r="F41" s="12"/>
      <c r="G41" s="12"/>
      <c r="H41" s="41"/>
      <c r="I41" s="12"/>
    </row>
    <row r="42" ht="15.75" customHeight="1">
      <c r="E42" s="12"/>
      <c r="F42" s="12"/>
      <c r="G42" s="12"/>
      <c r="H42" s="41"/>
      <c r="I42" s="12"/>
    </row>
    <row r="43" ht="15.75" customHeight="1">
      <c r="E43" s="12"/>
      <c r="F43" s="12"/>
      <c r="G43" s="12"/>
      <c r="H43" s="41"/>
      <c r="I43" s="12"/>
    </row>
    <row r="44" ht="15.75" customHeight="1">
      <c r="E44" s="12"/>
      <c r="F44" s="12"/>
      <c r="G44" s="12"/>
      <c r="H44" s="41"/>
      <c r="I44" s="12"/>
    </row>
    <row r="45" ht="15.75" customHeight="1">
      <c r="E45" s="12"/>
      <c r="F45" s="12"/>
      <c r="G45" s="12"/>
      <c r="H45" s="41"/>
      <c r="I45" s="12"/>
    </row>
    <row r="46" ht="15.75" customHeight="1">
      <c r="E46" s="12"/>
      <c r="F46" s="12"/>
      <c r="G46" s="12"/>
      <c r="H46" s="41"/>
      <c r="I46" s="12"/>
    </row>
    <row r="47" ht="15.75" customHeight="1">
      <c r="E47" s="12"/>
      <c r="F47" s="12"/>
      <c r="G47" s="12"/>
      <c r="H47" s="41"/>
      <c r="I47" s="12"/>
    </row>
    <row r="48" ht="15.75" customHeight="1">
      <c r="E48" s="12"/>
      <c r="F48" s="12"/>
      <c r="G48" s="12"/>
      <c r="H48" s="41"/>
      <c r="I48" s="12"/>
    </row>
    <row r="49" ht="15.75" customHeight="1">
      <c r="E49" s="12"/>
      <c r="F49" s="12"/>
      <c r="G49" s="12"/>
      <c r="H49" s="41"/>
      <c r="I49" s="12"/>
    </row>
    <row r="50" ht="15.75" customHeight="1">
      <c r="E50" s="12"/>
      <c r="F50" s="12"/>
      <c r="G50" s="12"/>
      <c r="H50" s="41"/>
      <c r="I50" s="12"/>
    </row>
    <row r="51" ht="15.75" customHeight="1">
      <c r="E51" s="12"/>
      <c r="F51" s="12"/>
      <c r="G51" s="12"/>
      <c r="H51" s="41"/>
      <c r="I51" s="12"/>
    </row>
    <row r="52" ht="15.75" customHeight="1">
      <c r="E52" s="12"/>
      <c r="F52" s="12"/>
      <c r="G52" s="12"/>
      <c r="H52" s="41"/>
      <c r="I52" s="12"/>
    </row>
    <row r="53" ht="15.75" customHeight="1">
      <c r="E53" s="12"/>
      <c r="F53" s="12"/>
      <c r="G53" s="12"/>
      <c r="H53" s="41"/>
      <c r="I53" s="12"/>
    </row>
    <row r="54" ht="15.75" customHeight="1">
      <c r="E54" s="12"/>
      <c r="F54" s="12"/>
      <c r="G54" s="12"/>
      <c r="H54" s="41"/>
      <c r="I54" s="12"/>
    </row>
    <row r="55" ht="15.75" customHeight="1">
      <c r="E55" s="12"/>
      <c r="F55" s="12"/>
      <c r="G55" s="12"/>
      <c r="H55" s="41"/>
      <c r="I55" s="12"/>
    </row>
    <row r="56" ht="15.75" customHeight="1">
      <c r="E56" s="12"/>
      <c r="F56" s="12"/>
      <c r="G56" s="12"/>
      <c r="H56" s="41"/>
      <c r="I56" s="12"/>
    </row>
    <row r="57" ht="15.75" customHeight="1">
      <c r="E57" s="12"/>
      <c r="F57" s="12"/>
      <c r="G57" s="12"/>
      <c r="H57" s="41"/>
      <c r="I57" s="12"/>
    </row>
    <row r="58" ht="15.75" customHeight="1">
      <c r="E58" s="12"/>
      <c r="F58" s="12"/>
      <c r="G58" s="12"/>
      <c r="H58" s="41"/>
      <c r="I58" s="12"/>
    </row>
    <row r="59" ht="15.75" customHeight="1">
      <c r="E59" s="12"/>
      <c r="F59" s="12"/>
      <c r="G59" s="12"/>
      <c r="H59" s="41"/>
      <c r="I59" s="12"/>
    </row>
    <row r="60" ht="15.75" customHeight="1">
      <c r="E60" s="12"/>
      <c r="F60" s="12"/>
      <c r="G60" s="12"/>
      <c r="H60" s="41"/>
      <c r="I60" s="12"/>
    </row>
    <row r="61" ht="15.75" customHeight="1">
      <c r="E61" s="12"/>
      <c r="F61" s="12"/>
      <c r="G61" s="12"/>
      <c r="H61" s="41"/>
      <c r="I61" s="12"/>
    </row>
    <row r="62" ht="15.75" customHeight="1">
      <c r="E62" s="12"/>
      <c r="F62" s="12"/>
      <c r="G62" s="12"/>
      <c r="H62" s="41"/>
      <c r="I62" s="12"/>
    </row>
    <row r="63" ht="15.75" customHeight="1">
      <c r="E63" s="12"/>
      <c r="F63" s="12"/>
      <c r="G63" s="12"/>
      <c r="H63" s="41"/>
      <c r="I63" s="12"/>
    </row>
    <row r="64" ht="15.75" customHeight="1">
      <c r="E64" s="12"/>
      <c r="F64" s="12"/>
      <c r="G64" s="12"/>
      <c r="H64" s="41"/>
      <c r="I64" s="12"/>
    </row>
    <row r="65" ht="15.75" customHeight="1">
      <c r="E65" s="12"/>
      <c r="F65" s="12"/>
      <c r="G65" s="12"/>
      <c r="H65" s="41"/>
      <c r="I65" s="12"/>
    </row>
    <row r="66" ht="15.75" customHeight="1">
      <c r="E66" s="12"/>
      <c r="F66" s="12"/>
      <c r="G66" s="12"/>
      <c r="H66" s="41"/>
      <c r="I66" s="12"/>
    </row>
    <row r="67" ht="15.75" customHeight="1">
      <c r="E67" s="12"/>
      <c r="F67" s="12"/>
      <c r="G67" s="12"/>
      <c r="H67" s="41"/>
      <c r="I67" s="12"/>
    </row>
    <row r="68" ht="15.75" customHeight="1">
      <c r="E68" s="12"/>
      <c r="F68" s="12"/>
      <c r="G68" s="12"/>
      <c r="H68" s="41"/>
      <c r="I68" s="12"/>
    </row>
    <row r="69" ht="15.75" customHeight="1">
      <c r="E69" s="12"/>
      <c r="F69" s="12"/>
      <c r="G69" s="12"/>
      <c r="H69" s="41"/>
      <c r="I69" s="12"/>
    </row>
    <row r="70" ht="15.75" customHeight="1">
      <c r="E70" s="12"/>
      <c r="F70" s="12"/>
      <c r="G70" s="12"/>
      <c r="H70" s="41"/>
      <c r="I70" s="12"/>
    </row>
    <row r="71" ht="15.75" customHeight="1">
      <c r="E71" s="12"/>
      <c r="F71" s="12"/>
      <c r="G71" s="12"/>
      <c r="H71" s="41"/>
      <c r="I71" s="12"/>
    </row>
    <row r="72" ht="15.75" customHeight="1">
      <c r="E72" s="12"/>
      <c r="F72" s="12"/>
      <c r="G72" s="12"/>
      <c r="H72" s="41"/>
      <c r="I72" s="12"/>
    </row>
    <row r="73" ht="15.75" customHeight="1">
      <c r="E73" s="12"/>
      <c r="F73" s="12"/>
      <c r="G73" s="12"/>
      <c r="H73" s="41"/>
      <c r="I73" s="12"/>
    </row>
    <row r="74" ht="15.75" customHeight="1">
      <c r="E74" s="12"/>
      <c r="F74" s="12"/>
      <c r="G74" s="12"/>
      <c r="H74" s="41"/>
      <c r="I74" s="12"/>
    </row>
    <row r="75" ht="15.75" customHeight="1">
      <c r="E75" s="12"/>
      <c r="F75" s="12"/>
      <c r="G75" s="12"/>
      <c r="H75" s="41"/>
      <c r="I75" s="12"/>
    </row>
    <row r="76" ht="15.75" customHeight="1">
      <c r="E76" s="12"/>
      <c r="F76" s="12"/>
      <c r="G76" s="12"/>
      <c r="H76" s="41"/>
      <c r="I76" s="12"/>
    </row>
    <row r="77" ht="15.75" customHeight="1">
      <c r="E77" s="12"/>
      <c r="F77" s="12"/>
      <c r="G77" s="12"/>
      <c r="H77" s="41"/>
      <c r="I77" s="12"/>
    </row>
    <row r="78" ht="15.75" customHeight="1">
      <c r="E78" s="12"/>
      <c r="F78" s="12"/>
      <c r="G78" s="12"/>
      <c r="H78" s="41"/>
      <c r="I78" s="12"/>
    </row>
    <row r="79" ht="15.75" customHeight="1">
      <c r="E79" s="12"/>
      <c r="F79" s="12"/>
      <c r="G79" s="12"/>
      <c r="H79" s="41"/>
      <c r="I79" s="12"/>
    </row>
    <row r="80" ht="15.75" customHeight="1">
      <c r="E80" s="12"/>
      <c r="F80" s="12"/>
      <c r="G80" s="12"/>
      <c r="H80" s="41"/>
      <c r="I80" s="12"/>
    </row>
    <row r="81" ht="15.75" customHeight="1">
      <c r="E81" s="12"/>
      <c r="F81" s="12"/>
      <c r="G81" s="12"/>
      <c r="H81" s="41"/>
      <c r="I81" s="12"/>
    </row>
    <row r="82" ht="15.75" customHeight="1">
      <c r="E82" s="12"/>
      <c r="F82" s="12"/>
      <c r="G82" s="12"/>
      <c r="H82" s="41"/>
      <c r="I82" s="12"/>
    </row>
    <row r="83" ht="15.75" customHeight="1">
      <c r="E83" s="12"/>
      <c r="F83" s="12"/>
      <c r="G83" s="12"/>
      <c r="H83" s="41"/>
      <c r="I83" s="12"/>
    </row>
    <row r="84" ht="15.75" customHeight="1">
      <c r="E84" s="12"/>
      <c r="F84" s="12"/>
      <c r="G84" s="12"/>
      <c r="H84" s="41"/>
      <c r="I84" s="12"/>
    </row>
    <row r="85" ht="15.75" customHeight="1">
      <c r="E85" s="12"/>
      <c r="F85" s="12"/>
      <c r="G85" s="12"/>
      <c r="H85" s="41"/>
      <c r="I85" s="12"/>
    </row>
    <row r="86" ht="15.75" customHeight="1">
      <c r="E86" s="12"/>
      <c r="F86" s="12"/>
      <c r="G86" s="12"/>
      <c r="H86" s="41"/>
      <c r="I86" s="12"/>
    </row>
    <row r="87" ht="15.75" customHeight="1">
      <c r="E87" s="12"/>
      <c r="F87" s="12"/>
      <c r="G87" s="12"/>
      <c r="H87" s="41"/>
      <c r="I87" s="12"/>
    </row>
    <row r="88" ht="15.75" customHeight="1">
      <c r="E88" s="12"/>
      <c r="F88" s="12"/>
      <c r="G88" s="12"/>
      <c r="H88" s="41"/>
      <c r="I88" s="12"/>
    </row>
    <row r="89" ht="15.75" customHeight="1">
      <c r="E89" s="12"/>
      <c r="F89" s="12"/>
      <c r="G89" s="12"/>
      <c r="H89" s="41"/>
      <c r="I89" s="12"/>
    </row>
    <row r="90" ht="15.75" customHeight="1">
      <c r="E90" s="12"/>
      <c r="F90" s="12"/>
      <c r="G90" s="12"/>
      <c r="H90" s="41"/>
      <c r="I90" s="12"/>
    </row>
    <row r="91" ht="15.75" customHeight="1">
      <c r="E91" s="12"/>
      <c r="F91" s="12"/>
      <c r="G91" s="12"/>
      <c r="H91" s="41"/>
      <c r="I91" s="12"/>
    </row>
    <row r="92" ht="15.75" customHeight="1">
      <c r="E92" s="12"/>
      <c r="F92" s="12"/>
      <c r="G92" s="12"/>
      <c r="H92" s="41"/>
      <c r="I92" s="12"/>
    </row>
    <row r="93" ht="15.75" customHeight="1">
      <c r="E93" s="12"/>
      <c r="F93" s="12"/>
      <c r="G93" s="12"/>
      <c r="H93" s="41"/>
      <c r="I93" s="12"/>
    </row>
    <row r="94" ht="15.75" customHeight="1">
      <c r="E94" s="12"/>
      <c r="F94" s="12"/>
      <c r="G94" s="12"/>
      <c r="H94" s="41"/>
      <c r="I94" s="12"/>
    </row>
    <row r="95" ht="15.75" customHeight="1">
      <c r="E95" s="12"/>
      <c r="F95" s="12"/>
      <c r="G95" s="12"/>
      <c r="H95" s="41"/>
      <c r="I95" s="12"/>
    </row>
    <row r="96" ht="15.75" customHeight="1">
      <c r="E96" s="12"/>
      <c r="F96" s="12"/>
      <c r="G96" s="12"/>
      <c r="H96" s="41"/>
      <c r="I96" s="12"/>
    </row>
    <row r="97" ht="15.75" customHeight="1">
      <c r="E97" s="12"/>
      <c r="F97" s="12"/>
      <c r="G97" s="12"/>
      <c r="H97" s="41"/>
      <c r="I97" s="12"/>
    </row>
    <row r="98" ht="15.75" customHeight="1">
      <c r="E98" s="12"/>
      <c r="F98" s="12"/>
      <c r="G98" s="12"/>
      <c r="H98" s="41"/>
      <c r="I98" s="12"/>
    </row>
    <row r="99" ht="15.75" customHeight="1">
      <c r="E99" s="12"/>
      <c r="F99" s="12"/>
      <c r="G99" s="12"/>
      <c r="H99" s="41"/>
      <c r="I99" s="12"/>
    </row>
    <row r="100" ht="15.75" customHeight="1">
      <c r="E100" s="12"/>
      <c r="F100" s="12"/>
      <c r="G100" s="12"/>
      <c r="H100" s="41"/>
      <c r="I100" s="12"/>
    </row>
    <row r="101" ht="15.75" customHeight="1">
      <c r="E101" s="12"/>
      <c r="F101" s="12"/>
      <c r="G101" s="12"/>
      <c r="H101" s="41"/>
      <c r="I101" s="12"/>
    </row>
    <row r="102" ht="15.75" customHeight="1">
      <c r="E102" s="12"/>
      <c r="F102" s="12"/>
      <c r="G102" s="12"/>
      <c r="H102" s="41"/>
      <c r="I102" s="12"/>
    </row>
    <row r="103" ht="15.75" customHeight="1">
      <c r="E103" s="12"/>
      <c r="F103" s="12"/>
      <c r="G103" s="12"/>
      <c r="H103" s="41"/>
      <c r="I103" s="12"/>
    </row>
    <row r="104" ht="15.75" customHeight="1">
      <c r="E104" s="12"/>
      <c r="F104" s="12"/>
      <c r="G104" s="12"/>
      <c r="H104" s="41"/>
      <c r="I104" s="12"/>
    </row>
    <row r="105" ht="15.75" customHeight="1">
      <c r="E105" s="12"/>
      <c r="F105" s="12"/>
      <c r="G105" s="12"/>
      <c r="H105" s="41"/>
      <c r="I105" s="12"/>
    </row>
    <row r="106" ht="15.75" customHeight="1">
      <c r="E106" s="12"/>
      <c r="F106" s="12"/>
      <c r="G106" s="12"/>
      <c r="H106" s="41"/>
      <c r="I106" s="12"/>
    </row>
    <row r="107" ht="15.75" customHeight="1">
      <c r="E107" s="12"/>
      <c r="F107" s="12"/>
      <c r="G107" s="12"/>
      <c r="H107" s="41"/>
      <c r="I107" s="12"/>
    </row>
    <row r="108" ht="15.75" customHeight="1">
      <c r="E108" s="12"/>
      <c r="F108" s="12"/>
      <c r="G108" s="12"/>
      <c r="H108" s="41"/>
      <c r="I108" s="12"/>
    </row>
    <row r="109" ht="15.75" customHeight="1">
      <c r="E109" s="12"/>
      <c r="F109" s="12"/>
      <c r="G109" s="12"/>
      <c r="H109" s="41"/>
      <c r="I109" s="12"/>
    </row>
    <row r="110" ht="15.75" customHeight="1">
      <c r="E110" s="12"/>
      <c r="F110" s="12"/>
      <c r="G110" s="12"/>
      <c r="H110" s="41"/>
      <c r="I110" s="12"/>
    </row>
    <row r="111" ht="15.75" customHeight="1">
      <c r="E111" s="12"/>
      <c r="F111" s="12"/>
      <c r="G111" s="12"/>
      <c r="H111" s="41"/>
      <c r="I111" s="12"/>
    </row>
    <row r="112" ht="15.75" customHeight="1">
      <c r="E112" s="12"/>
      <c r="F112" s="12"/>
      <c r="G112" s="12"/>
      <c r="H112" s="41"/>
      <c r="I112" s="12"/>
    </row>
    <row r="113" ht="15.75" customHeight="1">
      <c r="E113" s="12"/>
      <c r="F113" s="12"/>
      <c r="G113" s="12"/>
      <c r="H113" s="41"/>
      <c r="I113" s="12"/>
    </row>
    <row r="114" ht="15.75" customHeight="1">
      <c r="E114" s="12"/>
      <c r="F114" s="12"/>
      <c r="G114" s="12"/>
      <c r="H114" s="41"/>
      <c r="I114" s="12"/>
    </row>
    <row r="115" ht="15.75" customHeight="1">
      <c r="E115" s="12"/>
      <c r="F115" s="12"/>
      <c r="G115" s="12"/>
      <c r="H115" s="41"/>
      <c r="I115" s="12"/>
    </row>
    <row r="116" ht="15.75" customHeight="1">
      <c r="E116" s="12"/>
      <c r="F116" s="12"/>
      <c r="G116" s="12"/>
      <c r="H116" s="41"/>
      <c r="I116" s="12"/>
    </row>
    <row r="117" ht="15.75" customHeight="1">
      <c r="E117" s="12"/>
      <c r="F117" s="12"/>
      <c r="G117" s="12"/>
      <c r="H117" s="41"/>
      <c r="I117" s="12"/>
    </row>
    <row r="118" ht="15.75" customHeight="1">
      <c r="E118" s="12"/>
      <c r="F118" s="12"/>
      <c r="G118" s="12"/>
      <c r="H118" s="41"/>
      <c r="I118" s="12"/>
    </row>
    <row r="119" ht="15.75" customHeight="1">
      <c r="E119" s="12"/>
      <c r="F119" s="12"/>
      <c r="G119" s="12"/>
      <c r="H119" s="41"/>
      <c r="I119" s="12"/>
    </row>
    <row r="120" ht="15.75" customHeight="1">
      <c r="E120" s="12"/>
      <c r="F120" s="12"/>
      <c r="G120" s="12"/>
      <c r="H120" s="41"/>
      <c r="I120" s="12"/>
    </row>
    <row r="121" ht="15.75" customHeight="1">
      <c r="E121" s="12"/>
      <c r="F121" s="12"/>
      <c r="G121" s="12"/>
      <c r="H121" s="41"/>
      <c r="I121" s="12"/>
    </row>
    <row r="122" ht="15.75" customHeight="1">
      <c r="E122" s="12"/>
      <c r="F122" s="12"/>
      <c r="G122" s="12"/>
      <c r="H122" s="41"/>
      <c r="I122" s="12"/>
    </row>
    <row r="123" ht="15.75" customHeight="1">
      <c r="E123" s="12"/>
      <c r="F123" s="12"/>
      <c r="G123" s="12"/>
      <c r="H123" s="41"/>
      <c r="I123" s="12"/>
    </row>
    <row r="124" ht="15.75" customHeight="1">
      <c r="E124" s="12"/>
      <c r="F124" s="12"/>
      <c r="G124" s="12"/>
      <c r="H124" s="41"/>
      <c r="I124" s="12"/>
    </row>
    <row r="125" ht="15.75" customHeight="1">
      <c r="E125" s="12"/>
      <c r="F125" s="12"/>
      <c r="G125" s="12"/>
      <c r="H125" s="41"/>
      <c r="I125" s="12"/>
    </row>
    <row r="126" ht="15.75" customHeight="1">
      <c r="E126" s="12"/>
      <c r="F126" s="12"/>
      <c r="G126" s="12"/>
      <c r="H126" s="41"/>
      <c r="I126" s="12"/>
    </row>
    <row r="127" ht="15.75" customHeight="1">
      <c r="E127" s="12"/>
      <c r="F127" s="12"/>
      <c r="G127" s="12"/>
      <c r="H127" s="41"/>
      <c r="I127" s="12"/>
    </row>
    <row r="128" ht="15.75" customHeight="1">
      <c r="E128" s="12"/>
      <c r="F128" s="12"/>
      <c r="G128" s="12"/>
      <c r="H128" s="41"/>
      <c r="I128" s="12"/>
    </row>
    <row r="129" ht="15.75" customHeight="1">
      <c r="E129" s="12"/>
      <c r="F129" s="12"/>
      <c r="G129" s="12"/>
      <c r="H129" s="41"/>
      <c r="I129" s="12"/>
    </row>
    <row r="130" ht="15.75" customHeight="1">
      <c r="E130" s="12"/>
      <c r="F130" s="12"/>
      <c r="G130" s="12"/>
      <c r="H130" s="41"/>
      <c r="I130" s="12"/>
    </row>
    <row r="131" ht="15.75" customHeight="1">
      <c r="E131" s="12"/>
      <c r="F131" s="12"/>
      <c r="G131" s="12"/>
      <c r="H131" s="41"/>
      <c r="I131" s="12"/>
    </row>
    <row r="132" ht="15.75" customHeight="1">
      <c r="E132" s="12"/>
      <c r="F132" s="12"/>
      <c r="G132" s="12"/>
      <c r="H132" s="41"/>
      <c r="I132" s="12"/>
    </row>
    <row r="133" ht="15.75" customHeight="1">
      <c r="E133" s="12"/>
      <c r="F133" s="12"/>
      <c r="G133" s="12"/>
      <c r="H133" s="41"/>
      <c r="I133" s="12"/>
    </row>
    <row r="134" ht="15.75" customHeight="1">
      <c r="E134" s="12"/>
      <c r="F134" s="12"/>
      <c r="G134" s="12"/>
      <c r="H134" s="41"/>
      <c r="I134" s="12"/>
    </row>
    <row r="135" ht="15.75" customHeight="1">
      <c r="E135" s="12"/>
      <c r="F135" s="12"/>
      <c r="G135" s="12"/>
      <c r="H135" s="41"/>
      <c r="I135" s="12"/>
    </row>
    <row r="136" ht="15.75" customHeight="1">
      <c r="E136" s="12"/>
      <c r="F136" s="12"/>
      <c r="G136" s="12"/>
      <c r="H136" s="41"/>
      <c r="I136" s="12"/>
    </row>
    <row r="137" ht="15.75" customHeight="1">
      <c r="E137" s="12"/>
      <c r="F137" s="12"/>
      <c r="G137" s="12"/>
      <c r="H137" s="41"/>
      <c r="I137" s="12"/>
    </row>
    <row r="138" ht="15.75" customHeight="1">
      <c r="E138" s="12"/>
      <c r="F138" s="12"/>
      <c r="G138" s="12"/>
      <c r="H138" s="41"/>
      <c r="I138" s="12"/>
    </row>
    <row r="139" ht="15.75" customHeight="1">
      <c r="E139" s="12"/>
      <c r="F139" s="12"/>
      <c r="G139" s="12"/>
      <c r="H139" s="41"/>
      <c r="I139" s="12"/>
    </row>
    <row r="140" ht="15.75" customHeight="1">
      <c r="E140" s="12"/>
      <c r="F140" s="12"/>
      <c r="G140" s="12"/>
      <c r="H140" s="41"/>
      <c r="I140" s="12"/>
    </row>
    <row r="141" ht="15.75" customHeight="1">
      <c r="E141" s="12"/>
      <c r="F141" s="12"/>
      <c r="G141" s="12"/>
      <c r="H141" s="41"/>
      <c r="I141" s="12"/>
    </row>
    <row r="142" ht="15.75" customHeight="1">
      <c r="E142" s="12"/>
      <c r="F142" s="12"/>
      <c r="G142" s="12"/>
      <c r="H142" s="41"/>
      <c r="I142" s="12"/>
    </row>
    <row r="143" ht="15.75" customHeight="1">
      <c r="E143" s="12"/>
      <c r="F143" s="12"/>
      <c r="G143" s="12"/>
      <c r="H143" s="41"/>
      <c r="I143" s="12"/>
    </row>
    <row r="144" ht="15.75" customHeight="1">
      <c r="E144" s="12"/>
      <c r="F144" s="12"/>
      <c r="G144" s="12"/>
      <c r="H144" s="41"/>
      <c r="I144" s="12"/>
    </row>
    <row r="145" ht="15.75" customHeight="1">
      <c r="E145" s="12"/>
      <c r="F145" s="12"/>
      <c r="G145" s="12"/>
      <c r="H145" s="41"/>
      <c r="I145" s="12"/>
    </row>
    <row r="146" ht="15.75" customHeight="1">
      <c r="E146" s="12"/>
      <c r="F146" s="12"/>
      <c r="G146" s="12"/>
      <c r="H146" s="41"/>
      <c r="I146" s="12"/>
    </row>
    <row r="147" ht="15.75" customHeight="1">
      <c r="E147" s="12"/>
      <c r="F147" s="12"/>
      <c r="G147" s="12"/>
      <c r="H147" s="41"/>
      <c r="I147" s="12"/>
    </row>
    <row r="148" ht="15.75" customHeight="1">
      <c r="E148" s="12"/>
      <c r="F148" s="12"/>
      <c r="G148" s="12"/>
      <c r="H148" s="41"/>
      <c r="I148" s="12"/>
    </row>
    <row r="149" ht="15.75" customHeight="1">
      <c r="E149" s="12"/>
      <c r="F149" s="12"/>
      <c r="G149" s="12"/>
      <c r="H149" s="41"/>
      <c r="I149" s="12"/>
    </row>
    <row r="150" ht="15.75" customHeight="1">
      <c r="E150" s="12"/>
      <c r="F150" s="12"/>
      <c r="G150" s="12"/>
      <c r="H150" s="41"/>
      <c r="I150" s="12"/>
    </row>
    <row r="151" ht="15.75" customHeight="1">
      <c r="E151" s="12"/>
      <c r="F151" s="12"/>
      <c r="G151" s="12"/>
      <c r="H151" s="41"/>
      <c r="I151" s="12"/>
    </row>
    <row r="152" ht="15.75" customHeight="1">
      <c r="E152" s="12"/>
      <c r="F152" s="12"/>
      <c r="G152" s="12"/>
      <c r="H152" s="41"/>
      <c r="I152" s="12"/>
    </row>
    <row r="153" ht="15.75" customHeight="1">
      <c r="E153" s="12"/>
      <c r="F153" s="12"/>
      <c r="G153" s="12"/>
      <c r="H153" s="41"/>
      <c r="I153" s="12"/>
    </row>
    <row r="154" ht="15.75" customHeight="1">
      <c r="E154" s="12"/>
      <c r="F154" s="12"/>
      <c r="G154" s="12"/>
      <c r="H154" s="41"/>
      <c r="I154" s="12"/>
    </row>
    <row r="155" ht="15.75" customHeight="1">
      <c r="E155" s="12"/>
      <c r="F155" s="12"/>
      <c r="G155" s="12"/>
      <c r="H155" s="41"/>
      <c r="I155" s="12"/>
    </row>
    <row r="156" ht="15.75" customHeight="1">
      <c r="E156" s="12"/>
      <c r="F156" s="12"/>
      <c r="G156" s="12"/>
      <c r="H156" s="41"/>
      <c r="I156" s="12"/>
    </row>
    <row r="157" ht="15.75" customHeight="1">
      <c r="E157" s="12"/>
      <c r="F157" s="12"/>
      <c r="G157" s="12"/>
      <c r="H157" s="41"/>
      <c r="I157" s="12"/>
    </row>
    <row r="158" ht="15.75" customHeight="1">
      <c r="E158" s="12"/>
      <c r="F158" s="12"/>
      <c r="G158" s="12"/>
      <c r="H158" s="41"/>
      <c r="I158" s="12"/>
    </row>
    <row r="159" ht="15.75" customHeight="1">
      <c r="E159" s="12"/>
      <c r="F159" s="12"/>
      <c r="G159" s="12"/>
      <c r="H159" s="41"/>
      <c r="I159" s="12"/>
    </row>
    <row r="160" ht="15.75" customHeight="1">
      <c r="E160" s="12"/>
      <c r="F160" s="12"/>
      <c r="G160" s="12"/>
      <c r="H160" s="41"/>
      <c r="I160" s="12"/>
    </row>
    <row r="161" ht="15.75" customHeight="1">
      <c r="E161" s="12"/>
      <c r="F161" s="12"/>
      <c r="G161" s="12"/>
      <c r="H161" s="41"/>
      <c r="I161" s="12"/>
    </row>
    <row r="162" ht="15.75" customHeight="1">
      <c r="E162" s="12"/>
      <c r="F162" s="12"/>
      <c r="G162" s="12"/>
      <c r="H162" s="41"/>
      <c r="I162" s="12"/>
    </row>
    <row r="163" ht="15.75" customHeight="1">
      <c r="E163" s="12"/>
      <c r="F163" s="12"/>
      <c r="G163" s="12"/>
      <c r="H163" s="41"/>
      <c r="I163" s="12"/>
    </row>
    <row r="164" ht="15.75" customHeight="1">
      <c r="E164" s="12"/>
      <c r="F164" s="12"/>
      <c r="G164" s="12"/>
      <c r="H164" s="41"/>
      <c r="I164" s="12"/>
    </row>
    <row r="165" ht="15.75" customHeight="1">
      <c r="E165" s="12"/>
      <c r="F165" s="12"/>
      <c r="G165" s="12"/>
      <c r="H165" s="41"/>
      <c r="I165" s="12"/>
    </row>
    <row r="166" ht="15.75" customHeight="1">
      <c r="E166" s="12"/>
      <c r="F166" s="12"/>
      <c r="G166" s="12"/>
      <c r="H166" s="41"/>
      <c r="I166" s="12"/>
    </row>
    <row r="167" ht="15.75" customHeight="1">
      <c r="E167" s="12"/>
      <c r="F167" s="12"/>
      <c r="G167" s="12"/>
      <c r="H167" s="41"/>
      <c r="I167" s="12"/>
    </row>
    <row r="168" ht="15.75" customHeight="1">
      <c r="E168" s="12"/>
      <c r="F168" s="12"/>
      <c r="G168" s="12"/>
      <c r="H168" s="41"/>
      <c r="I168" s="12"/>
    </row>
    <row r="169" ht="15.75" customHeight="1">
      <c r="E169" s="12"/>
      <c r="F169" s="12"/>
      <c r="G169" s="12"/>
      <c r="H169" s="41"/>
      <c r="I169" s="12"/>
    </row>
    <row r="170" ht="15.75" customHeight="1">
      <c r="E170" s="12"/>
      <c r="F170" s="12"/>
      <c r="G170" s="12"/>
      <c r="H170" s="41"/>
      <c r="I170" s="12"/>
    </row>
    <row r="171" ht="15.75" customHeight="1">
      <c r="E171" s="12"/>
      <c r="F171" s="12"/>
      <c r="G171" s="12"/>
      <c r="H171" s="41"/>
      <c r="I171" s="12"/>
    </row>
    <row r="172" ht="15.75" customHeight="1">
      <c r="E172" s="12"/>
      <c r="F172" s="12"/>
      <c r="G172" s="12"/>
      <c r="H172" s="41"/>
      <c r="I172" s="12"/>
    </row>
    <row r="173" ht="15.75" customHeight="1">
      <c r="E173" s="12"/>
      <c r="F173" s="12"/>
      <c r="G173" s="12"/>
      <c r="H173" s="41"/>
      <c r="I173" s="12"/>
    </row>
    <row r="174" ht="15.75" customHeight="1">
      <c r="E174" s="12"/>
      <c r="F174" s="12"/>
      <c r="G174" s="12"/>
      <c r="H174" s="41"/>
      <c r="I174" s="12"/>
    </row>
    <row r="175" ht="15.75" customHeight="1">
      <c r="E175" s="12"/>
      <c r="F175" s="12"/>
      <c r="G175" s="12"/>
      <c r="H175" s="41"/>
      <c r="I175" s="12"/>
    </row>
    <row r="176" ht="15.75" customHeight="1">
      <c r="E176" s="12"/>
      <c r="F176" s="12"/>
      <c r="G176" s="12"/>
      <c r="H176" s="41"/>
      <c r="I176" s="12"/>
    </row>
    <row r="177" ht="15.75" customHeight="1">
      <c r="E177" s="12"/>
      <c r="F177" s="12"/>
      <c r="G177" s="12"/>
      <c r="H177" s="41"/>
      <c r="I177" s="12"/>
    </row>
    <row r="178" ht="15.75" customHeight="1">
      <c r="E178" s="12"/>
      <c r="F178" s="12"/>
      <c r="G178" s="12"/>
      <c r="H178" s="41"/>
      <c r="I178" s="12"/>
    </row>
    <row r="179" ht="15.75" customHeight="1">
      <c r="E179" s="12"/>
      <c r="F179" s="12"/>
      <c r="G179" s="12"/>
      <c r="H179" s="41"/>
      <c r="I179" s="12"/>
    </row>
    <row r="180" ht="15.75" customHeight="1">
      <c r="E180" s="12"/>
      <c r="F180" s="12"/>
      <c r="G180" s="12"/>
      <c r="H180" s="41"/>
      <c r="I180" s="12"/>
    </row>
    <row r="181" ht="15.75" customHeight="1">
      <c r="E181" s="12"/>
      <c r="F181" s="12"/>
      <c r="G181" s="12"/>
      <c r="H181" s="41"/>
      <c r="I181" s="12"/>
    </row>
    <row r="182" ht="15.75" customHeight="1">
      <c r="E182" s="12"/>
      <c r="F182" s="12"/>
      <c r="G182" s="12"/>
      <c r="H182" s="41"/>
      <c r="I182" s="12"/>
    </row>
    <row r="183" ht="15.75" customHeight="1">
      <c r="E183" s="12"/>
      <c r="F183" s="12"/>
      <c r="G183" s="12"/>
      <c r="H183" s="41"/>
      <c r="I183" s="12"/>
    </row>
    <row r="184" ht="15.75" customHeight="1">
      <c r="E184" s="12"/>
      <c r="F184" s="12"/>
      <c r="G184" s="12"/>
      <c r="H184" s="41"/>
      <c r="I184" s="12"/>
    </row>
    <row r="185" ht="15.75" customHeight="1">
      <c r="E185" s="12"/>
      <c r="F185" s="12"/>
      <c r="G185" s="12"/>
      <c r="H185" s="41"/>
      <c r="I185" s="12"/>
    </row>
    <row r="186" ht="15.75" customHeight="1">
      <c r="E186" s="12"/>
      <c r="F186" s="12"/>
      <c r="G186" s="12"/>
      <c r="H186" s="41"/>
      <c r="I186" s="12"/>
    </row>
    <row r="187" ht="15.75" customHeight="1">
      <c r="E187" s="12"/>
      <c r="F187" s="12"/>
      <c r="G187" s="12"/>
      <c r="H187" s="41"/>
      <c r="I187" s="12"/>
    </row>
    <row r="188" ht="15.75" customHeight="1">
      <c r="E188" s="12"/>
      <c r="F188" s="12"/>
      <c r="G188" s="12"/>
      <c r="H188" s="41"/>
      <c r="I188" s="12"/>
    </row>
    <row r="189" ht="15.75" customHeight="1">
      <c r="E189" s="12"/>
      <c r="F189" s="12"/>
      <c r="G189" s="12"/>
      <c r="H189" s="41"/>
      <c r="I189" s="12"/>
    </row>
    <row r="190" ht="15.75" customHeight="1">
      <c r="E190" s="12"/>
      <c r="F190" s="12"/>
      <c r="G190" s="12"/>
      <c r="H190" s="41"/>
      <c r="I190" s="12"/>
    </row>
    <row r="191" ht="15.75" customHeight="1">
      <c r="E191" s="12"/>
      <c r="F191" s="12"/>
      <c r="G191" s="12"/>
      <c r="H191" s="41"/>
      <c r="I191" s="12"/>
    </row>
    <row r="192" ht="15.75" customHeight="1">
      <c r="E192" s="12"/>
      <c r="F192" s="12"/>
      <c r="G192" s="12"/>
      <c r="H192" s="41"/>
      <c r="I192" s="12"/>
    </row>
    <row r="193" ht="15.75" customHeight="1">
      <c r="E193" s="12"/>
      <c r="F193" s="12"/>
      <c r="G193" s="12"/>
      <c r="H193" s="41"/>
      <c r="I193" s="12"/>
    </row>
    <row r="194" ht="15.75" customHeight="1">
      <c r="E194" s="12"/>
      <c r="F194" s="12"/>
      <c r="G194" s="12"/>
      <c r="H194" s="41"/>
      <c r="I194" s="12"/>
    </row>
    <row r="195" ht="15.75" customHeight="1">
      <c r="E195" s="12"/>
      <c r="F195" s="12"/>
      <c r="G195" s="12"/>
      <c r="H195" s="41"/>
      <c r="I195" s="12"/>
    </row>
    <row r="196" ht="15.75" customHeight="1">
      <c r="E196" s="12"/>
      <c r="F196" s="12"/>
      <c r="G196" s="12"/>
      <c r="H196" s="41"/>
      <c r="I196" s="12"/>
    </row>
    <row r="197" ht="15.75" customHeight="1">
      <c r="E197" s="12"/>
      <c r="F197" s="12"/>
      <c r="G197" s="12"/>
      <c r="H197" s="41"/>
      <c r="I197" s="12"/>
    </row>
    <row r="198" ht="15.75" customHeight="1">
      <c r="E198" s="12"/>
      <c r="F198" s="12"/>
      <c r="G198" s="12"/>
      <c r="H198" s="41"/>
      <c r="I198" s="12"/>
    </row>
    <row r="199" ht="15.75" customHeight="1">
      <c r="E199" s="12"/>
      <c r="F199" s="12"/>
      <c r="G199" s="12"/>
      <c r="H199" s="41"/>
      <c r="I199" s="12"/>
    </row>
    <row r="200" ht="15.75" customHeight="1">
      <c r="E200" s="12"/>
      <c r="F200" s="12"/>
      <c r="G200" s="12"/>
      <c r="H200" s="41"/>
      <c r="I200" s="12"/>
    </row>
    <row r="201" ht="15.75" customHeight="1">
      <c r="E201" s="12"/>
      <c r="F201" s="12"/>
      <c r="G201" s="12"/>
      <c r="H201" s="41"/>
      <c r="I201" s="12"/>
    </row>
    <row r="202" ht="15.75" customHeight="1">
      <c r="E202" s="12"/>
      <c r="F202" s="12"/>
      <c r="G202" s="12"/>
      <c r="H202" s="41"/>
      <c r="I202" s="12"/>
    </row>
    <row r="203" ht="15.75" customHeight="1">
      <c r="E203" s="12"/>
      <c r="F203" s="12"/>
      <c r="G203" s="12"/>
      <c r="H203" s="41"/>
      <c r="I203" s="12"/>
    </row>
    <row r="204" ht="15.75" customHeight="1">
      <c r="E204" s="12"/>
      <c r="F204" s="12"/>
      <c r="G204" s="12"/>
      <c r="H204" s="41"/>
      <c r="I204" s="12"/>
    </row>
    <row r="205" ht="15.75" customHeight="1">
      <c r="E205" s="12"/>
      <c r="F205" s="12"/>
      <c r="G205" s="12"/>
      <c r="H205" s="41"/>
      <c r="I205" s="12"/>
    </row>
    <row r="206" ht="15.75" customHeight="1">
      <c r="E206" s="12"/>
      <c r="F206" s="12"/>
      <c r="G206" s="12"/>
      <c r="H206" s="41"/>
      <c r="I206" s="12"/>
    </row>
    <row r="207" ht="15.75" customHeight="1">
      <c r="E207" s="12"/>
      <c r="F207" s="12"/>
      <c r="G207" s="12"/>
      <c r="H207" s="41"/>
      <c r="I207" s="12"/>
    </row>
    <row r="208" ht="15.75" customHeight="1">
      <c r="E208" s="12"/>
      <c r="F208" s="12"/>
      <c r="G208" s="12"/>
      <c r="H208" s="41"/>
      <c r="I208" s="12"/>
    </row>
    <row r="209" ht="15.75" customHeight="1">
      <c r="E209" s="12"/>
      <c r="F209" s="12"/>
      <c r="G209" s="12"/>
      <c r="H209" s="41"/>
      <c r="I209" s="12"/>
    </row>
    <row r="210" ht="15.75" customHeight="1">
      <c r="E210" s="12"/>
      <c r="F210" s="12"/>
      <c r="G210" s="12"/>
      <c r="H210" s="41"/>
      <c r="I210" s="12"/>
    </row>
    <row r="211" ht="15.75" customHeight="1">
      <c r="E211" s="12"/>
      <c r="F211" s="12"/>
      <c r="G211" s="12"/>
      <c r="H211" s="41"/>
      <c r="I211" s="12"/>
    </row>
    <row r="212" ht="15.75" customHeight="1">
      <c r="E212" s="12"/>
      <c r="F212" s="12"/>
      <c r="G212" s="12"/>
      <c r="H212" s="41"/>
      <c r="I212" s="12"/>
    </row>
    <row r="213" ht="15.75" customHeight="1">
      <c r="E213" s="12"/>
      <c r="F213" s="12"/>
      <c r="G213" s="12"/>
      <c r="H213" s="41"/>
      <c r="I213" s="12"/>
    </row>
    <row r="214" ht="15.75" customHeight="1">
      <c r="E214" s="12"/>
      <c r="F214" s="12"/>
      <c r="G214" s="12"/>
      <c r="H214" s="41"/>
      <c r="I214" s="12"/>
    </row>
    <row r="215" ht="15.75" customHeight="1">
      <c r="E215" s="12"/>
      <c r="F215" s="12"/>
      <c r="G215" s="12"/>
      <c r="H215" s="41"/>
      <c r="I215" s="12"/>
    </row>
    <row r="216" ht="15.75" customHeight="1">
      <c r="E216" s="12"/>
      <c r="F216" s="12"/>
      <c r="G216" s="12"/>
      <c r="H216" s="41"/>
      <c r="I216" s="12"/>
    </row>
    <row r="217" ht="15.75" customHeight="1">
      <c r="E217" s="12"/>
      <c r="F217" s="12"/>
      <c r="G217" s="12"/>
      <c r="H217" s="41"/>
      <c r="I217" s="12"/>
    </row>
    <row r="218" ht="15.75" customHeight="1">
      <c r="E218" s="12"/>
      <c r="F218" s="12"/>
      <c r="G218" s="12"/>
      <c r="H218" s="41"/>
      <c r="I218" s="12"/>
    </row>
    <row r="219" ht="15.75" customHeight="1">
      <c r="E219" s="12"/>
      <c r="F219" s="12"/>
      <c r="G219" s="12"/>
      <c r="H219" s="41"/>
      <c r="I219" s="12"/>
    </row>
    <row r="220" ht="15.75" customHeight="1">
      <c r="E220" s="12"/>
      <c r="F220" s="12"/>
      <c r="G220" s="12"/>
      <c r="H220" s="41"/>
      <c r="I220" s="12"/>
    </row>
    <row r="221" ht="15.75" customHeight="1">
      <c r="E221" s="12"/>
      <c r="F221" s="12"/>
      <c r="G221" s="12"/>
      <c r="H221" s="41"/>
      <c r="I221" s="12"/>
    </row>
    <row r="222" ht="15.75" customHeight="1">
      <c r="E222" s="12"/>
      <c r="F222" s="12"/>
      <c r="G222" s="12"/>
      <c r="H222" s="41"/>
      <c r="I222" s="12"/>
    </row>
    <row r="223" ht="15.75" customHeight="1">
      <c r="E223" s="12"/>
      <c r="F223" s="12"/>
      <c r="G223" s="12"/>
      <c r="H223" s="41"/>
      <c r="I223" s="12"/>
    </row>
    <row r="224" ht="15.75" customHeight="1">
      <c r="E224" s="12"/>
      <c r="F224" s="12"/>
      <c r="G224" s="12"/>
      <c r="H224" s="41"/>
      <c r="I224" s="12"/>
    </row>
    <row r="225" ht="15.75" customHeight="1">
      <c r="E225" s="12"/>
      <c r="F225" s="12"/>
      <c r="G225" s="12"/>
      <c r="H225" s="41"/>
      <c r="I225" s="12"/>
    </row>
    <row r="226" ht="15.75" customHeight="1">
      <c r="E226" s="12"/>
      <c r="F226" s="12"/>
      <c r="G226" s="12"/>
      <c r="H226" s="41"/>
      <c r="I226" s="12"/>
    </row>
    <row r="227" ht="15.75" customHeight="1">
      <c r="E227" s="12"/>
      <c r="F227" s="12"/>
      <c r="G227" s="12"/>
      <c r="H227" s="41"/>
      <c r="I227" s="12"/>
    </row>
    <row r="228" ht="15.75" customHeight="1">
      <c r="E228" s="12"/>
      <c r="F228" s="12"/>
      <c r="G228" s="12"/>
      <c r="H228" s="41"/>
      <c r="I228" s="12"/>
    </row>
    <row r="229" ht="15.75" customHeight="1">
      <c r="E229" s="12"/>
      <c r="F229" s="12"/>
      <c r="G229" s="12"/>
      <c r="H229" s="41"/>
      <c r="I229" s="12"/>
    </row>
    <row r="230" ht="15.75" customHeight="1">
      <c r="E230" s="12"/>
      <c r="F230" s="12"/>
      <c r="G230" s="12"/>
      <c r="H230" s="41"/>
      <c r="I230" s="12"/>
    </row>
    <row r="231" ht="15.75" customHeight="1">
      <c r="E231" s="12"/>
      <c r="F231" s="12"/>
      <c r="G231" s="12"/>
      <c r="H231" s="41"/>
      <c r="I231" s="12"/>
    </row>
    <row r="232" ht="15.75" customHeight="1">
      <c r="E232" s="12"/>
      <c r="F232" s="12"/>
      <c r="G232" s="12"/>
      <c r="H232" s="41"/>
      <c r="I232" s="12"/>
    </row>
    <row r="233" ht="15.75" customHeight="1">
      <c r="E233" s="12"/>
      <c r="F233" s="12"/>
      <c r="G233" s="12"/>
      <c r="H233" s="41"/>
      <c r="I233" s="1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I1:N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6.5"/>
    <col customWidth="1" min="3" max="3" width="22.25"/>
    <col customWidth="1" min="4" max="6" width="12.63"/>
  </cols>
  <sheetData>
    <row r="1" ht="15.75" customHeight="1">
      <c r="A1" s="42" t="s">
        <v>146</v>
      </c>
      <c r="B1" s="43"/>
      <c r="C1" s="43"/>
      <c r="D1" s="43"/>
      <c r="E1" s="43"/>
      <c r="F1" s="43"/>
      <c r="G1" s="43"/>
      <c r="H1" s="43"/>
      <c r="I1" s="43"/>
      <c r="J1" s="43"/>
      <c r="K1" s="44"/>
    </row>
    <row r="2" ht="15.75" customHeight="1">
      <c r="A2" s="45" t="s">
        <v>147</v>
      </c>
      <c r="B2" s="46"/>
      <c r="C2" s="47" t="s">
        <v>148</v>
      </c>
      <c r="D2" s="17"/>
      <c r="E2" s="46"/>
      <c r="F2" s="48" t="s">
        <v>149</v>
      </c>
      <c r="G2" s="46"/>
      <c r="H2" s="47" t="s">
        <v>150</v>
      </c>
      <c r="I2" s="17"/>
      <c r="J2" s="17"/>
      <c r="K2" s="46"/>
    </row>
    <row r="3" ht="15.75" customHeight="1">
      <c r="A3" s="45" t="s">
        <v>151</v>
      </c>
      <c r="B3" s="46"/>
      <c r="C3" s="47" t="s">
        <v>152</v>
      </c>
      <c r="D3" s="17"/>
      <c r="E3" s="46"/>
      <c r="F3" s="48" t="s">
        <v>153</v>
      </c>
      <c r="G3" s="46"/>
      <c r="H3" s="47" t="s">
        <v>154</v>
      </c>
      <c r="I3" s="17"/>
      <c r="J3" s="17"/>
      <c r="K3" s="46"/>
    </row>
    <row r="4" ht="15.75" customHeight="1">
      <c r="A4" s="49" t="s">
        <v>155</v>
      </c>
      <c r="B4" s="46"/>
      <c r="C4" s="50"/>
      <c r="D4" s="17"/>
      <c r="E4" s="17"/>
      <c r="F4" s="17"/>
      <c r="G4" s="17"/>
      <c r="H4" s="17"/>
      <c r="I4" s="17"/>
      <c r="J4" s="17"/>
      <c r="K4" s="46"/>
    </row>
    <row r="5" ht="15.75" customHeight="1">
      <c r="A5" s="51"/>
      <c r="B5" s="52" t="s">
        <v>156</v>
      </c>
      <c r="C5" s="53">
        <f>D12/J12</f>
        <v>1</v>
      </c>
      <c r="D5" s="51"/>
      <c r="E5" s="51"/>
      <c r="F5" s="51"/>
      <c r="G5" s="51"/>
      <c r="H5" s="51"/>
      <c r="I5" s="51"/>
      <c r="J5" s="51"/>
      <c r="K5" s="51"/>
    </row>
    <row r="6" ht="15.75" customHeight="1">
      <c r="A6" s="51"/>
      <c r="B6" s="54" t="s">
        <v>157</v>
      </c>
      <c r="C6" s="53">
        <f>E12/J12</f>
        <v>0.7333333333</v>
      </c>
      <c r="D6" s="51"/>
      <c r="E6" s="51"/>
      <c r="F6" s="51"/>
      <c r="G6" s="51"/>
      <c r="H6" s="51"/>
      <c r="I6" s="51"/>
      <c r="J6" s="55" t="s">
        <v>158</v>
      </c>
      <c r="K6" s="56">
        <v>45459.0</v>
      </c>
    </row>
    <row r="7" ht="15.75" customHeight="1">
      <c r="A7" s="51"/>
      <c r="B7" s="57"/>
      <c r="C7" s="51"/>
      <c r="D7" s="51"/>
      <c r="E7" s="51"/>
      <c r="F7" s="51"/>
      <c r="G7" s="51"/>
      <c r="H7" s="51"/>
      <c r="I7" s="51"/>
      <c r="J7" s="51"/>
      <c r="K7" s="51"/>
    </row>
    <row r="8" ht="15.75" customHeight="1">
      <c r="A8" s="18" t="s">
        <v>159</v>
      </c>
      <c r="B8" s="18" t="s">
        <v>160</v>
      </c>
      <c r="C8" s="18" t="s">
        <v>161</v>
      </c>
      <c r="D8" s="18" t="s">
        <v>162</v>
      </c>
      <c r="E8" s="18" t="s">
        <v>34</v>
      </c>
      <c r="F8" s="18" t="s">
        <v>48</v>
      </c>
      <c r="G8" s="18" t="s">
        <v>163</v>
      </c>
      <c r="H8" s="18" t="s">
        <v>164</v>
      </c>
      <c r="I8" s="18" t="s">
        <v>165</v>
      </c>
      <c r="J8" s="18" t="s">
        <v>16</v>
      </c>
      <c r="K8" s="18" t="s">
        <v>166</v>
      </c>
    </row>
    <row r="9" ht="15.75" customHeight="1">
      <c r="A9" s="58">
        <v>1.0</v>
      </c>
      <c r="B9" s="58" t="str">
        <f>'Requirement List'!B2</f>
        <v>R001</v>
      </c>
      <c r="C9" s="59" t="str">
        <f>'Requirement List'!C2</f>
        <v>Edit Release</v>
      </c>
      <c r="D9" s="58">
        <f>SUM('Test Summary Report'!$E9:$G9)</f>
        <v>10</v>
      </c>
      <c r="E9" s="58">
        <f>COUNTIFS('Test Cases'!$C:$C,'Test Summary Report'!$C9,'Test Cases'!$J:$J,'Test Summary Report'!E$8)</f>
        <v>6</v>
      </c>
      <c r="F9" s="58">
        <f>COUNTIFS('Test Cases'!$C:$C,'Test Summary Report'!$C9,'Test Cases'!$J:$J,'Test Summary Report'!F$8)</f>
        <v>4</v>
      </c>
      <c r="G9" s="58">
        <f>COUNTIFS('Test Cases'!$C:$C,'Test Summary Report'!$C9,'Test Cases'!$J:$J,'Test Summary Report'!G$8)</f>
        <v>0</v>
      </c>
      <c r="H9" s="58">
        <f>COUNTIFS('Test Cases'!$C:$C,'Test Summary Report'!$C9,'Test Cases'!$J:$J,'Test Summary Report'!H$8)</f>
        <v>0</v>
      </c>
      <c r="I9" s="58">
        <f>COUNTIFS('Test Cases'!$C:$C,'Test Summary Report'!$C9,'Test Cases'!$J:$J,'Test Summary Report'!I$8)</f>
        <v>0</v>
      </c>
      <c r="J9" s="60">
        <f>SUM('Test Summary Report'!$E9:$I9)</f>
        <v>10</v>
      </c>
      <c r="K9" s="61">
        <f>'Test Summary Report'!$D9/'Test Summary Report'!$J9</f>
        <v>1</v>
      </c>
    </row>
    <row r="10" ht="15.75" customHeight="1">
      <c r="A10" s="62">
        <f t="shared" ref="A10:A11" si="1">A9+1</f>
        <v>2</v>
      </c>
      <c r="B10" s="62" t="str">
        <f>'Requirement List'!B3</f>
        <v>R002</v>
      </c>
      <c r="C10" s="59" t="str">
        <f>'Requirement List'!C3</f>
        <v>Add Release</v>
      </c>
      <c r="D10" s="62">
        <f>SUM('Test Summary Report'!$E10:$G10)</f>
        <v>10</v>
      </c>
      <c r="E10" s="62">
        <f>COUNTIFS('Test Cases'!$C:$C,'Test Summary Report'!$C10,'Test Cases'!$J:$J,'Test Summary Report'!E$8)</f>
        <v>9</v>
      </c>
      <c r="F10" s="62">
        <f>COUNTIFS('Test Cases'!$C:$C,'Test Summary Report'!$C10,'Test Cases'!$J:$J,'Test Summary Report'!F$8)</f>
        <v>1</v>
      </c>
      <c r="G10" s="62">
        <f>COUNTIFS('Test Cases'!$C:$C,'Test Summary Report'!$C10,'Test Cases'!$J:$J,'Test Summary Report'!G$8)</f>
        <v>0</v>
      </c>
      <c r="H10" s="62">
        <f>COUNTIFS('Test Cases'!$C:$C,'Test Summary Report'!$C10,'Test Cases'!$J:$J,'Test Summary Report'!H$8)</f>
        <v>0</v>
      </c>
      <c r="I10" s="62">
        <f>COUNTIFS('Test Cases'!$C:$C,'Test Summary Report'!$C10,'Test Cases'!$J:$J,'Test Summary Report'!I$8)</f>
        <v>0</v>
      </c>
      <c r="J10" s="63">
        <f>SUM('Test Summary Report'!$E10:$I10)</f>
        <v>10</v>
      </c>
      <c r="K10" s="64">
        <f>'Test Summary Report'!$D10/'Test Summary Report'!$J10</f>
        <v>1</v>
      </c>
    </row>
    <row r="11" ht="15.75" customHeight="1">
      <c r="A11" s="62">
        <f t="shared" si="1"/>
        <v>3</v>
      </c>
      <c r="B11" s="62" t="str">
        <f>'Requirement List'!B4</f>
        <v>R003</v>
      </c>
      <c r="C11" s="59" t="str">
        <f>'Requirement List'!C4</f>
        <v>Add Test Plan</v>
      </c>
      <c r="D11" s="62">
        <f>SUM('Test Summary Report'!$E11:$G11)</f>
        <v>10</v>
      </c>
      <c r="E11" s="62">
        <f>COUNTIFS('Test Cases'!$C:$C,'Test Summary Report'!$C11,'Test Cases'!$J:$J,'Test Summary Report'!E$8)</f>
        <v>7</v>
      </c>
      <c r="F11" s="62">
        <f>COUNTIFS('Test Cases'!$C:$C,'Test Summary Report'!$C11,'Test Cases'!$J:$J,'Test Summary Report'!F$8)</f>
        <v>3</v>
      </c>
      <c r="G11" s="62">
        <f>COUNTIFS('Test Cases'!$C:$C,'Test Summary Report'!$C11,'Test Cases'!$J:$J,'Test Summary Report'!G$8)</f>
        <v>0</v>
      </c>
      <c r="H11" s="62">
        <f>COUNTIFS('Test Cases'!$C:$C,'Test Summary Report'!$C11,'Test Cases'!$J:$J,'Test Summary Report'!H$8)</f>
        <v>0</v>
      </c>
      <c r="I11" s="62">
        <f>COUNTIFS('Test Cases'!$C:$C,'Test Summary Report'!$C11,'Test Cases'!$J:$J,'Test Summary Report'!I$8)</f>
        <v>0</v>
      </c>
      <c r="J11" s="63">
        <f>SUM('Test Summary Report'!$E11:$I11)</f>
        <v>10</v>
      </c>
      <c r="K11" s="64">
        <f>'Test Summary Report'!$D11/'Test Summary Report'!$J11</f>
        <v>1</v>
      </c>
    </row>
    <row r="12" ht="15.75" customHeight="1">
      <c r="A12" s="7" t="s">
        <v>15</v>
      </c>
      <c r="B12" s="7"/>
      <c r="C12" s="8" t="s">
        <v>16</v>
      </c>
      <c r="D12" s="65">
        <f t="shared" ref="D12:J12" si="2">SUM(D9:D11)</f>
        <v>30</v>
      </c>
      <c r="E12" s="65">
        <f t="shared" si="2"/>
        <v>22</v>
      </c>
      <c r="F12" s="65">
        <f t="shared" si="2"/>
        <v>8</v>
      </c>
      <c r="G12" s="65">
        <f t="shared" si="2"/>
        <v>0</v>
      </c>
      <c r="H12" s="65">
        <f t="shared" si="2"/>
        <v>0</v>
      </c>
      <c r="I12" s="65">
        <f t="shared" si="2"/>
        <v>0</v>
      </c>
      <c r="J12" s="65">
        <f t="shared" si="2"/>
        <v>30</v>
      </c>
      <c r="K12" s="66">
        <f>C5</f>
        <v>1</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F3:G3"/>
    <mergeCell ref="H3:K3"/>
    <mergeCell ref="A4:B4"/>
    <mergeCell ref="C4:K4"/>
    <mergeCell ref="A1:K1"/>
    <mergeCell ref="A2:B2"/>
    <mergeCell ref="C2:E2"/>
    <mergeCell ref="F2:G2"/>
    <mergeCell ref="H2:K2"/>
    <mergeCell ref="A3:B3"/>
    <mergeCell ref="C3:E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13"/>
    <col customWidth="1" min="2" max="2" width="65.63"/>
    <col customWidth="1" min="3" max="6" width="12.63"/>
  </cols>
  <sheetData>
    <row r="1" ht="15.75" customHeight="1">
      <c r="A1" s="1" t="s">
        <v>167</v>
      </c>
      <c r="B1" s="67"/>
    </row>
    <row r="2" ht="15.75" customHeight="1">
      <c r="A2" s="68" t="s">
        <v>34</v>
      </c>
      <c r="B2" s="67" t="s">
        <v>168</v>
      </c>
    </row>
    <row r="3" ht="15.75" customHeight="1">
      <c r="A3" s="68" t="s">
        <v>48</v>
      </c>
      <c r="B3" s="67" t="s">
        <v>169</v>
      </c>
    </row>
    <row r="4" ht="15.75" customHeight="1">
      <c r="A4" s="68" t="s">
        <v>163</v>
      </c>
      <c r="B4" s="67" t="s">
        <v>170</v>
      </c>
    </row>
    <row r="5" ht="15.75" customHeight="1">
      <c r="A5" s="68" t="s">
        <v>164</v>
      </c>
      <c r="B5" s="67" t="s">
        <v>171</v>
      </c>
    </row>
    <row r="6" ht="15.75" customHeight="1">
      <c r="A6" s="68" t="s">
        <v>165</v>
      </c>
      <c r="B6" s="67"/>
    </row>
    <row r="7" ht="15.75" customHeight="1">
      <c r="A7" s="67"/>
      <c r="B7" s="67"/>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